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jayak\OneDrive\Desktop\Data analytics\Excel\Task\"/>
    </mc:Choice>
  </mc:AlternateContent>
  <xr:revisionPtr revIDLastSave="0" documentId="13_ncr:1_{504567EE-7AC8-4245-9528-6958C03FCB8E}" xr6:coauthVersionLast="47" xr6:coauthVersionMax="47" xr10:uidLastSave="{00000000-0000-0000-0000-000000000000}"/>
  <bookViews>
    <workbookView xWindow="-108" yWindow="-108" windowWidth="23256" windowHeight="12456" activeTab="1" xr2:uid="{35A8FB01-FD0C-465E-A9D3-EFDA6D107287}"/>
  </bookViews>
  <sheets>
    <sheet name="data" sheetId="1" r:id="rId1"/>
    <sheet name="Dashboard" sheetId="8" r:id="rId2"/>
    <sheet name="Month trend" sheetId="2" r:id="rId3"/>
    <sheet name="Year" sheetId="3" r:id="rId4"/>
    <sheet name="Qrt" sheetId="5" r:id="rId5"/>
    <sheet name="Quotation Value " sheetId="13" r:id="rId6"/>
    <sheet name="PO Value" sheetId="15" r:id="rId7"/>
    <sheet name="Amount Saved" sheetId="17" r:id="rId8"/>
    <sheet name="item purchased order" sheetId="18" r:id="rId9"/>
    <sheet name="category wise saved" sheetId="19" r:id="rId10"/>
    <sheet name="remaining quantity" sheetId="20" r:id="rId11"/>
    <sheet name="Open PO Amount" sheetId="21" r:id="rId12"/>
    <sheet name="indentor po" sheetId="22" r:id="rId13"/>
    <sheet name="refer" sheetId="10" state="hidden" r:id="rId14"/>
    <sheet name="Sheet1" sheetId="23" state="hidden" r:id="rId15"/>
  </sheets>
  <definedNames>
    <definedName name="Slicer_Indentor">#N/A</definedName>
    <definedName name="Slicer_Months__Month">#N/A</definedName>
    <definedName name="Slicer_Years__Month">#N/A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1" l="1"/>
  <c r="E16" i="21" s="1"/>
  <c r="B16" i="20"/>
  <c r="E16" i="20" s="1"/>
  <c r="E19" i="18"/>
  <c r="E3" i="18"/>
  <c r="J3" i="18" s="1"/>
  <c r="D3" i="15"/>
  <c r="D16" i="13"/>
  <c r="D3" i="13"/>
  <c r="B19" i="18"/>
  <c r="F19" i="18" s="1"/>
  <c r="G19" i="18" s="1"/>
  <c r="B16" i="17"/>
  <c r="E16" i="17" s="1"/>
  <c r="B16" i="15"/>
  <c r="B16" i="13"/>
  <c r="E16" i="13" s="1"/>
  <c r="F16" i="13" s="1"/>
  <c r="I12" i="5"/>
  <c r="B16" i="5"/>
  <c r="F4" i="2"/>
  <c r="E4" i="22"/>
  <c r="F4" i="22"/>
  <c r="E5" i="22"/>
  <c r="F5" i="22"/>
  <c r="E6" i="22"/>
  <c r="F6" i="22"/>
  <c r="F3" i="22"/>
  <c r="E3" i="22"/>
  <c r="E3" i="21"/>
  <c r="E4" i="21"/>
  <c r="E5" i="21"/>
  <c r="E6" i="21"/>
  <c r="E7" i="21"/>
  <c r="E8" i="21"/>
  <c r="E9" i="21"/>
  <c r="E10" i="21"/>
  <c r="E11" i="21"/>
  <c r="E12" i="21"/>
  <c r="E13" i="21"/>
  <c r="E14" i="21"/>
  <c r="E15" i="21"/>
  <c r="D4" i="21"/>
  <c r="D5" i="21"/>
  <c r="D6" i="21"/>
  <c r="D7" i="21"/>
  <c r="D8" i="21"/>
  <c r="D9" i="21"/>
  <c r="D10" i="21"/>
  <c r="D11" i="21"/>
  <c r="D12" i="21"/>
  <c r="D13" i="21"/>
  <c r="D14" i="21"/>
  <c r="D15" i="21"/>
  <c r="D16" i="21"/>
  <c r="D3" i="21"/>
  <c r="F3" i="19"/>
  <c r="D4" i="20"/>
  <c r="E4" i="20"/>
  <c r="D5" i="20"/>
  <c r="E5" i="20"/>
  <c r="D6" i="20"/>
  <c r="E6" i="20"/>
  <c r="D7" i="20"/>
  <c r="E7" i="20"/>
  <c r="D8" i="20"/>
  <c r="E8" i="20"/>
  <c r="D9" i="20"/>
  <c r="E9" i="20"/>
  <c r="D10" i="20"/>
  <c r="E10" i="20"/>
  <c r="D11" i="20"/>
  <c r="E11" i="20"/>
  <c r="D12" i="20"/>
  <c r="E12" i="20"/>
  <c r="D13" i="20"/>
  <c r="E13" i="20"/>
  <c r="D14" i="20"/>
  <c r="E14" i="20"/>
  <c r="D15" i="20"/>
  <c r="E15" i="20"/>
  <c r="D16" i="20"/>
  <c r="E3" i="20"/>
  <c r="D3" i="20"/>
  <c r="F5" i="19"/>
  <c r="F6" i="19"/>
  <c r="F7" i="19"/>
  <c r="F8" i="19"/>
  <c r="E3" i="19"/>
  <c r="E4" i="19"/>
  <c r="F4" i="19"/>
  <c r="E5" i="19"/>
  <c r="E6" i="19"/>
  <c r="E7" i="19"/>
  <c r="E8" i="19"/>
  <c r="E4" i="18"/>
  <c r="J4" i="18" s="1"/>
  <c r="E5" i="18"/>
  <c r="J5" i="18" s="1"/>
  <c r="E6" i="18"/>
  <c r="J6" i="18" s="1"/>
  <c r="E7" i="18"/>
  <c r="J7" i="18" s="1"/>
  <c r="E8" i="18"/>
  <c r="J8" i="18" s="1"/>
  <c r="E9" i="18"/>
  <c r="J9" i="18" s="1"/>
  <c r="E10" i="18"/>
  <c r="J10" i="18" s="1"/>
  <c r="E11" i="18"/>
  <c r="J11" i="18" s="1"/>
  <c r="E12" i="18"/>
  <c r="J12" i="18" s="1"/>
  <c r="E13" i="18"/>
  <c r="J13" i="18" s="1"/>
  <c r="E14" i="18"/>
  <c r="J14" i="18" s="1"/>
  <c r="E15" i="18"/>
  <c r="J15" i="18" s="1"/>
  <c r="E16" i="18"/>
  <c r="J16" i="18" s="1"/>
  <c r="E17" i="18"/>
  <c r="J17" i="18" s="1"/>
  <c r="E18" i="18"/>
  <c r="J18" i="18" s="1"/>
  <c r="F5" i="18"/>
  <c r="F6" i="18"/>
  <c r="F7" i="18"/>
  <c r="F8" i="18"/>
  <c r="F9" i="18"/>
  <c r="F10" i="18"/>
  <c r="F11" i="18"/>
  <c r="F12" i="18"/>
  <c r="F13" i="18"/>
  <c r="F14" i="18"/>
  <c r="F15" i="18"/>
  <c r="F16" i="18"/>
  <c r="F17" i="18"/>
  <c r="F18" i="18"/>
  <c r="F4" i="18"/>
  <c r="F3" i="18"/>
  <c r="G3" i="18" s="1"/>
  <c r="K3" i="18" s="1"/>
  <c r="E5" i="17"/>
  <c r="E6" i="17"/>
  <c r="E7" i="17"/>
  <c r="E8" i="17"/>
  <c r="E9" i="17"/>
  <c r="E10" i="17"/>
  <c r="E11" i="17"/>
  <c r="E12" i="17"/>
  <c r="E13" i="17"/>
  <c r="E14" i="17"/>
  <c r="E15" i="17"/>
  <c r="E4" i="17"/>
  <c r="D4" i="17"/>
  <c r="D5" i="17"/>
  <c r="D6" i="17"/>
  <c r="D7" i="17"/>
  <c r="D8" i="17"/>
  <c r="D9" i="17"/>
  <c r="D10" i="17"/>
  <c r="D11" i="17"/>
  <c r="D12" i="17"/>
  <c r="D13" i="17"/>
  <c r="D14" i="17"/>
  <c r="D15" i="17"/>
  <c r="D16" i="17"/>
  <c r="E3" i="17"/>
  <c r="D3" i="17"/>
  <c r="D4" i="15"/>
  <c r="E4" i="15"/>
  <c r="D5" i="15"/>
  <c r="E5" i="15"/>
  <c r="D6" i="15"/>
  <c r="E6" i="15"/>
  <c r="D7" i="15"/>
  <c r="E7" i="15"/>
  <c r="D8" i="15"/>
  <c r="E8" i="15"/>
  <c r="D9" i="15"/>
  <c r="E9" i="15"/>
  <c r="D10" i="15"/>
  <c r="E10" i="15"/>
  <c r="D11" i="15"/>
  <c r="E11" i="15"/>
  <c r="D12" i="15"/>
  <c r="E12" i="15"/>
  <c r="D13" i="15"/>
  <c r="E13" i="15"/>
  <c r="D14" i="15"/>
  <c r="E14" i="15"/>
  <c r="D15" i="15"/>
  <c r="E15" i="15"/>
  <c r="D16" i="15"/>
  <c r="E3" i="15"/>
  <c r="D4" i="13"/>
  <c r="E4" i="13"/>
  <c r="D5" i="13"/>
  <c r="E5" i="13"/>
  <c r="D6" i="13"/>
  <c r="E6" i="13"/>
  <c r="D7" i="13"/>
  <c r="E7" i="13"/>
  <c r="D8" i="13"/>
  <c r="E8" i="13"/>
  <c r="D9" i="13"/>
  <c r="E9" i="13"/>
  <c r="D10" i="13"/>
  <c r="E10" i="13"/>
  <c r="D11" i="13"/>
  <c r="E11" i="13"/>
  <c r="D12" i="13"/>
  <c r="E12" i="13"/>
  <c r="D13" i="13"/>
  <c r="E13" i="13"/>
  <c r="D14" i="13"/>
  <c r="E14" i="13"/>
  <c r="D15" i="13"/>
  <c r="E15" i="13"/>
  <c r="E3" i="13"/>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6" i="1"/>
  <c r="N7" i="1"/>
  <c r="N8" i="1"/>
  <c r="N9" i="1"/>
  <c r="N10" i="1"/>
  <c r="N11" i="1"/>
  <c r="N12" i="1"/>
  <c r="N13" i="1"/>
  <c r="N14" i="1"/>
  <c r="N5" i="1"/>
  <c r="B10" i="3"/>
  <c r="C10" i="3"/>
  <c r="B11" i="3"/>
  <c r="C11" i="3"/>
  <c r="C9" i="3"/>
  <c r="B9" i="3"/>
  <c r="I13" i="5"/>
  <c r="I14" i="5"/>
  <c r="I15" i="5"/>
  <c r="I16" i="5"/>
  <c r="J12" i="5"/>
  <c r="E4" i="5"/>
  <c r="F4" i="5"/>
  <c r="E5" i="5"/>
  <c r="F5" i="5"/>
  <c r="E6" i="5"/>
  <c r="F6" i="5"/>
  <c r="E7" i="5"/>
  <c r="F7" i="5"/>
  <c r="E8" i="5"/>
  <c r="F8" i="5"/>
  <c r="E9" i="5"/>
  <c r="F9" i="5"/>
  <c r="E10" i="5"/>
  <c r="F10" i="5"/>
  <c r="E11" i="5"/>
  <c r="F11" i="5"/>
  <c r="E12" i="5"/>
  <c r="F12" i="5"/>
  <c r="E13" i="5"/>
  <c r="F13" i="5"/>
  <c r="E14" i="5"/>
  <c r="F14" i="5"/>
  <c r="E15" i="5"/>
  <c r="F15" i="5"/>
  <c r="F3" i="5"/>
  <c r="E3" i="5"/>
  <c r="F3" i="3"/>
  <c r="G7" i="3"/>
  <c r="F7" i="3"/>
  <c r="F8" i="3"/>
  <c r="F4" i="3"/>
  <c r="G3" i="3"/>
  <c r="G5" i="2"/>
  <c r="H5" i="2" s="1"/>
  <c r="G6" i="2"/>
  <c r="H6" i="2" s="1"/>
  <c r="G7" i="2"/>
  <c r="H7" i="2" s="1"/>
  <c r="G8" i="2"/>
  <c r="H8" i="2" s="1"/>
  <c r="G9" i="2"/>
  <c r="H9" i="2" s="1"/>
  <c r="G10" i="2"/>
  <c r="H10" i="2" s="1"/>
  <c r="G11" i="2"/>
  <c r="H11" i="2" s="1"/>
  <c r="G12" i="2"/>
  <c r="H12" i="2" s="1"/>
  <c r="G13" i="2"/>
  <c r="H13" i="2" s="1"/>
  <c r="G14" i="2"/>
  <c r="H14" i="2" s="1"/>
  <c r="G15" i="2"/>
  <c r="H15" i="2" s="1"/>
  <c r="G4" i="2"/>
  <c r="H4" i="2" s="1"/>
  <c r="F5" i="2"/>
  <c r="F6" i="2"/>
  <c r="F7" i="2"/>
  <c r="F8" i="2"/>
  <c r="F9" i="2"/>
  <c r="F10" i="2"/>
  <c r="F11" i="2"/>
  <c r="F12" i="2"/>
  <c r="F13" i="2"/>
  <c r="F14" i="2"/>
  <c r="F15" i="2"/>
  <c r="V21" i="1"/>
  <c r="V8" i="1"/>
  <c r="U21" i="1"/>
  <c r="U26" i="1"/>
  <c r="V26" i="1" s="1"/>
  <c r="U27" i="1"/>
  <c r="V27" i="1" s="1"/>
  <c r="U34" i="1"/>
  <c r="V34" i="1" s="1"/>
  <c r="U39" i="1"/>
  <c r="V39" i="1" s="1"/>
  <c r="U42" i="1"/>
  <c r="V42" i="1" s="1"/>
  <c r="U43" i="1"/>
  <c r="V43" i="1" s="1"/>
  <c r="U44" i="1"/>
  <c r="V44" i="1" s="1"/>
  <c r="U45" i="1"/>
  <c r="V45" i="1" s="1"/>
  <c r="U46" i="1"/>
  <c r="V46" i="1" s="1"/>
  <c r="U47" i="1"/>
  <c r="V47" i="1" s="1"/>
  <c r="U48" i="1"/>
  <c r="V48" i="1" s="1"/>
  <c r="U49" i="1"/>
  <c r="V49" i="1" s="1"/>
  <c r="U50" i="1"/>
  <c r="V50" i="1" s="1"/>
  <c r="U51" i="1"/>
  <c r="V51" i="1" s="1"/>
  <c r="U5" i="1"/>
  <c r="V5" i="1" s="1"/>
  <c r="U8" i="1"/>
  <c r="U11" i="1"/>
  <c r="V11" i="1" s="1"/>
  <c r="U16" i="1"/>
  <c r="V16" i="1" s="1"/>
  <c r="U17" i="1"/>
  <c r="V17" i="1" s="1"/>
  <c r="S5" i="1"/>
  <c r="S6" i="1"/>
  <c r="S7" i="1"/>
  <c r="S8" i="1"/>
  <c r="T8" i="1" s="1"/>
  <c r="S9" i="1"/>
  <c r="S10" i="1"/>
  <c r="S11" i="1"/>
  <c r="T11" i="1" s="1"/>
  <c r="S12" i="1"/>
  <c r="S13" i="1"/>
  <c r="S14" i="1"/>
  <c r="S15" i="1"/>
  <c r="S16" i="1"/>
  <c r="S17" i="1"/>
  <c r="T17" i="1" s="1"/>
  <c r="S18" i="1"/>
  <c r="S19" i="1"/>
  <c r="S20" i="1"/>
  <c r="S21" i="1"/>
  <c r="S22" i="1"/>
  <c r="S23" i="1"/>
  <c r="S24" i="1"/>
  <c r="S25" i="1"/>
  <c r="S26" i="1"/>
  <c r="T26" i="1" s="1"/>
  <c r="S27" i="1"/>
  <c r="S28" i="1"/>
  <c r="S29" i="1"/>
  <c r="S30" i="1"/>
  <c r="S31" i="1"/>
  <c r="S32" i="1"/>
  <c r="S33" i="1"/>
  <c r="S34" i="1"/>
  <c r="S35" i="1"/>
  <c r="S36" i="1"/>
  <c r="S37" i="1"/>
  <c r="S38" i="1"/>
  <c r="S39" i="1"/>
  <c r="T39" i="1" s="1"/>
  <c r="S40" i="1"/>
  <c r="S41" i="1"/>
  <c r="S42" i="1"/>
  <c r="T42" i="1" s="1"/>
  <c r="S43" i="1"/>
  <c r="T43" i="1" s="1"/>
  <c r="S44" i="1"/>
  <c r="T44" i="1" s="1"/>
  <c r="S45" i="1"/>
  <c r="T45" i="1" s="1"/>
  <c r="S46" i="1"/>
  <c r="T46" i="1" s="1"/>
  <c r="S47" i="1"/>
  <c r="T47" i="1" s="1"/>
  <c r="S48" i="1"/>
  <c r="T48" i="1" s="1"/>
  <c r="S49" i="1"/>
  <c r="T49" i="1" s="1"/>
  <c r="S50" i="1"/>
  <c r="T50" i="1" s="1"/>
  <c r="S51" i="1"/>
  <c r="T51" i="1" s="1"/>
  <c r="S4" i="1"/>
  <c r="R41" i="1"/>
  <c r="U41" i="1" s="1"/>
  <c r="V41" i="1" s="1"/>
  <c r="R40" i="1"/>
  <c r="U40" i="1" s="1"/>
  <c r="V40" i="1" s="1"/>
  <c r="R36" i="1"/>
  <c r="U36" i="1" s="1"/>
  <c r="V36" i="1" s="1"/>
  <c r="R37" i="1"/>
  <c r="T37" i="1" s="1"/>
  <c r="R38" i="1"/>
  <c r="R35" i="1"/>
  <c r="U35" i="1" s="1"/>
  <c r="V35" i="1" s="1"/>
  <c r="R28" i="1"/>
  <c r="U28" i="1" s="1"/>
  <c r="V28" i="1" s="1"/>
  <c r="R29" i="1"/>
  <c r="U29" i="1" s="1"/>
  <c r="V29" i="1" s="1"/>
  <c r="R30" i="1"/>
  <c r="U30" i="1" s="1"/>
  <c r="V30" i="1" s="1"/>
  <c r="R31" i="1"/>
  <c r="U31" i="1" s="1"/>
  <c r="V31" i="1" s="1"/>
  <c r="R32" i="1"/>
  <c r="U32" i="1" s="1"/>
  <c r="V32" i="1" s="1"/>
  <c r="R33" i="1"/>
  <c r="U33" i="1" s="1"/>
  <c r="V33" i="1" s="1"/>
  <c r="R27" i="1"/>
  <c r="R19" i="1"/>
  <c r="U19" i="1" s="1"/>
  <c r="V19" i="1" s="1"/>
  <c r="R20" i="1"/>
  <c r="U20" i="1" s="1"/>
  <c r="V20" i="1" s="1"/>
  <c r="R21" i="1"/>
  <c r="R22" i="1"/>
  <c r="U22" i="1" s="1"/>
  <c r="V22" i="1" s="1"/>
  <c r="R23" i="1"/>
  <c r="U23" i="1" s="1"/>
  <c r="V23" i="1" s="1"/>
  <c r="R24" i="1"/>
  <c r="U24" i="1" s="1"/>
  <c r="V24" i="1" s="1"/>
  <c r="R25" i="1"/>
  <c r="U25" i="1" s="1"/>
  <c r="V25" i="1" s="1"/>
  <c r="R18" i="1"/>
  <c r="U18" i="1" s="1"/>
  <c r="V18" i="1" s="1"/>
  <c r="R13" i="1"/>
  <c r="U13" i="1" s="1"/>
  <c r="V13" i="1" s="1"/>
  <c r="R14" i="1"/>
  <c r="U14" i="1" s="1"/>
  <c r="V14" i="1" s="1"/>
  <c r="R15" i="1"/>
  <c r="T15" i="1" s="1"/>
  <c r="R12" i="1"/>
  <c r="U12" i="1" s="1"/>
  <c r="V12" i="1" s="1"/>
  <c r="R10" i="1"/>
  <c r="U10" i="1" s="1"/>
  <c r="V10" i="1" s="1"/>
  <c r="R9" i="1"/>
  <c r="U9" i="1" s="1"/>
  <c r="V9" i="1" s="1"/>
  <c r="R5" i="1"/>
  <c r="T5" i="1" s="1"/>
  <c r="R6" i="1"/>
  <c r="U6" i="1" s="1"/>
  <c r="V6" i="1" s="1"/>
  <c r="R7" i="1"/>
  <c r="U7" i="1" s="1"/>
  <c r="V7" i="1" s="1"/>
  <c r="R4" i="1"/>
  <c r="U4" i="1" s="1"/>
  <c r="V4" i="1" s="1"/>
  <c r="T34" i="1"/>
  <c r="T32" i="1"/>
  <c r="T31" i="1"/>
  <c r="T30" i="1"/>
  <c r="T19" i="1"/>
  <c r="T16" i="1"/>
  <c r="N4" i="1"/>
  <c r="L5" i="1"/>
  <c r="Q5" i="1" s="1"/>
  <c r="L6" i="1"/>
  <c r="Q6" i="1" s="1"/>
  <c r="L7" i="1"/>
  <c r="Q7" i="1" s="1"/>
  <c r="L8" i="1"/>
  <c r="Q8" i="1" s="1"/>
  <c r="L9" i="1"/>
  <c r="L10" i="1"/>
  <c r="L11" i="1"/>
  <c r="L12" i="1"/>
  <c r="L13" i="1"/>
  <c r="L14" i="1"/>
  <c r="L15" i="1"/>
  <c r="L16" i="1"/>
  <c r="Q16" i="1" s="1"/>
  <c r="L17" i="1"/>
  <c r="Q17" i="1" s="1"/>
  <c r="L18" i="1"/>
  <c r="Q18" i="1" s="1"/>
  <c r="L19" i="1"/>
  <c r="Q19" i="1" s="1"/>
  <c r="L20" i="1"/>
  <c r="L21" i="1"/>
  <c r="Q21" i="1" s="1"/>
  <c r="L22" i="1"/>
  <c r="Q22" i="1" s="1"/>
  <c r="L23" i="1"/>
  <c r="Q23" i="1" s="1"/>
  <c r="L24" i="1"/>
  <c r="L25" i="1"/>
  <c r="L26" i="1"/>
  <c r="L27" i="1"/>
  <c r="Q27" i="1" s="1"/>
  <c r="L28" i="1"/>
  <c r="L29" i="1"/>
  <c r="Q29" i="1" s="1"/>
  <c r="L30" i="1"/>
  <c r="L31" i="1"/>
  <c r="Q31" i="1" s="1"/>
  <c r="L32" i="1"/>
  <c r="Q32" i="1" s="1"/>
  <c r="L33" i="1"/>
  <c r="Q33" i="1" s="1"/>
  <c r="L34" i="1"/>
  <c r="Q34" i="1" s="1"/>
  <c r="L35" i="1"/>
  <c r="Q35" i="1" s="1"/>
  <c r="L36" i="1"/>
  <c r="L37" i="1"/>
  <c r="Q37" i="1" s="1"/>
  <c r="L38" i="1"/>
  <c r="Q38" i="1" s="1"/>
  <c r="L39" i="1"/>
  <c r="Q39" i="1" s="1"/>
  <c r="L40" i="1"/>
  <c r="L41" i="1"/>
  <c r="L42" i="1"/>
  <c r="L43" i="1"/>
  <c r="L44" i="1"/>
  <c r="L45" i="1"/>
  <c r="Q45" i="1" s="1"/>
  <c r="L46" i="1"/>
  <c r="L47" i="1"/>
  <c r="L48" i="1"/>
  <c r="Q48" i="1" s="1"/>
  <c r="L49" i="1"/>
  <c r="Q49" i="1" s="1"/>
  <c r="L50" i="1"/>
  <c r="Q50" i="1" s="1"/>
  <c r="L51" i="1"/>
  <c r="Q51" i="1" s="1"/>
  <c r="L4" i="1"/>
  <c r="E51" i="1"/>
  <c r="F51" i="1" s="1"/>
  <c r="X51" i="1" s="1"/>
  <c r="E50" i="1"/>
  <c r="F50" i="1" s="1"/>
  <c r="X50" i="1" s="1"/>
  <c r="E49" i="1"/>
  <c r="F49" i="1" s="1"/>
  <c r="X49" i="1" s="1"/>
  <c r="E48" i="1"/>
  <c r="F48" i="1" s="1"/>
  <c r="X48" i="1" s="1"/>
  <c r="E47" i="1"/>
  <c r="F47" i="1" s="1"/>
  <c r="X47" i="1" s="1"/>
  <c r="E46" i="1"/>
  <c r="F46" i="1" s="1"/>
  <c r="X46" i="1" s="1"/>
  <c r="E45" i="1"/>
  <c r="F45" i="1" s="1"/>
  <c r="X45" i="1" s="1"/>
  <c r="E44" i="1"/>
  <c r="F44" i="1" s="1"/>
  <c r="X44" i="1" s="1"/>
  <c r="E43" i="1"/>
  <c r="F43" i="1" s="1"/>
  <c r="X43" i="1" s="1"/>
  <c r="E42" i="1"/>
  <c r="F42" i="1" s="1"/>
  <c r="X42" i="1" s="1"/>
  <c r="E41" i="1"/>
  <c r="F41" i="1" s="1"/>
  <c r="X41" i="1" s="1"/>
  <c r="E40" i="1"/>
  <c r="F40" i="1" s="1"/>
  <c r="X40" i="1" s="1"/>
  <c r="E39" i="1"/>
  <c r="F39" i="1" s="1"/>
  <c r="X39" i="1" s="1"/>
  <c r="E38" i="1"/>
  <c r="F38" i="1" s="1"/>
  <c r="X38" i="1" s="1"/>
  <c r="E37" i="1"/>
  <c r="F37" i="1" s="1"/>
  <c r="X37" i="1" s="1"/>
  <c r="E36" i="1"/>
  <c r="F36" i="1" s="1"/>
  <c r="X36" i="1" s="1"/>
  <c r="E35" i="1"/>
  <c r="F35" i="1" s="1"/>
  <c r="X35" i="1" s="1"/>
  <c r="E34" i="1"/>
  <c r="F34" i="1" s="1"/>
  <c r="X34" i="1" s="1"/>
  <c r="E33" i="1"/>
  <c r="F33" i="1" s="1"/>
  <c r="X33" i="1" s="1"/>
  <c r="E32" i="1"/>
  <c r="F32" i="1" s="1"/>
  <c r="X32" i="1" s="1"/>
  <c r="E31" i="1"/>
  <c r="F31" i="1" s="1"/>
  <c r="X31" i="1" s="1"/>
  <c r="E30" i="1"/>
  <c r="F30" i="1" s="1"/>
  <c r="X30" i="1" s="1"/>
  <c r="E29" i="1"/>
  <c r="F29" i="1" s="1"/>
  <c r="X29" i="1" s="1"/>
  <c r="E28" i="1"/>
  <c r="F28" i="1" s="1"/>
  <c r="X28" i="1" s="1"/>
  <c r="E27" i="1"/>
  <c r="F27" i="1" s="1"/>
  <c r="X27" i="1" s="1"/>
  <c r="E26" i="1"/>
  <c r="F26" i="1" s="1"/>
  <c r="X26" i="1" s="1"/>
  <c r="E25" i="1"/>
  <c r="F25" i="1" s="1"/>
  <c r="X25" i="1" s="1"/>
  <c r="E24" i="1"/>
  <c r="F24" i="1" s="1"/>
  <c r="X24" i="1" s="1"/>
  <c r="E23" i="1"/>
  <c r="F23" i="1" s="1"/>
  <c r="X23" i="1" s="1"/>
  <c r="E22" i="1"/>
  <c r="F22" i="1" s="1"/>
  <c r="X22" i="1" s="1"/>
  <c r="E21" i="1"/>
  <c r="F21" i="1" s="1"/>
  <c r="X21" i="1" s="1"/>
  <c r="E20" i="1"/>
  <c r="F20" i="1" s="1"/>
  <c r="X20" i="1" s="1"/>
  <c r="E19" i="1"/>
  <c r="F19" i="1" s="1"/>
  <c r="X19" i="1" s="1"/>
  <c r="E18" i="1"/>
  <c r="F18" i="1" s="1"/>
  <c r="X18" i="1" s="1"/>
  <c r="E17" i="1"/>
  <c r="F17" i="1" s="1"/>
  <c r="X17" i="1" s="1"/>
  <c r="E16" i="1"/>
  <c r="F16" i="1" s="1"/>
  <c r="X16" i="1" s="1"/>
  <c r="E15" i="1"/>
  <c r="F15" i="1" s="1"/>
  <c r="X15" i="1" s="1"/>
  <c r="E14" i="1"/>
  <c r="F14" i="1" s="1"/>
  <c r="X14" i="1" s="1"/>
  <c r="E13" i="1"/>
  <c r="F13" i="1" s="1"/>
  <c r="X13" i="1" s="1"/>
  <c r="E12" i="1"/>
  <c r="F12" i="1" s="1"/>
  <c r="X12" i="1" s="1"/>
  <c r="E11" i="1"/>
  <c r="F11" i="1" s="1"/>
  <c r="X11" i="1" s="1"/>
  <c r="E10" i="1"/>
  <c r="F10" i="1" s="1"/>
  <c r="X10" i="1" s="1"/>
  <c r="E9" i="1"/>
  <c r="F9" i="1" s="1"/>
  <c r="X9" i="1" s="1"/>
  <c r="E8" i="1"/>
  <c r="F8" i="1" s="1"/>
  <c r="X8" i="1" s="1"/>
  <c r="E7" i="1"/>
  <c r="F7" i="1" s="1"/>
  <c r="X7" i="1" s="1"/>
  <c r="E6" i="1"/>
  <c r="F6" i="1" s="1"/>
  <c r="X6" i="1" s="1"/>
  <c r="E5" i="1"/>
  <c r="F5" i="1" s="1"/>
  <c r="X5" i="1" s="1"/>
  <c r="E4" i="1"/>
  <c r="F4" i="1" s="1"/>
  <c r="X4" i="1" s="1"/>
  <c r="G8" i="3"/>
  <c r="G4" i="3"/>
  <c r="F12" i="13" l="1"/>
  <c r="F4" i="13"/>
  <c r="F11" i="13"/>
  <c r="F10" i="13"/>
  <c r="F9" i="13"/>
  <c r="F8" i="13"/>
  <c r="F14" i="13"/>
  <c r="F15" i="13"/>
  <c r="F7" i="13"/>
  <c r="F13" i="13"/>
  <c r="F6" i="13"/>
  <c r="F5" i="13"/>
  <c r="G15" i="5"/>
  <c r="J8" i="5" s="1"/>
  <c r="G12" i="18"/>
  <c r="K12" i="18" s="1"/>
  <c r="G6" i="18"/>
  <c r="K6" i="18" s="1"/>
  <c r="L6" i="18" s="1"/>
  <c r="G5" i="18"/>
  <c r="K5" i="18" s="1"/>
  <c r="L5" i="18" s="1"/>
  <c r="G14" i="18"/>
  <c r="K14" i="18" s="1"/>
  <c r="G4" i="18"/>
  <c r="K4" i="18" s="1"/>
  <c r="L4" i="18" s="1"/>
  <c r="G13" i="18"/>
  <c r="K13" i="18" s="1"/>
  <c r="G6" i="5"/>
  <c r="J5" i="5" s="1"/>
  <c r="T7" i="1"/>
  <c r="Q14" i="1"/>
  <c r="Q43" i="1"/>
  <c r="Q40" i="1"/>
  <c r="Q24" i="1"/>
  <c r="Q36" i="1"/>
  <c r="Q20" i="1"/>
  <c r="T38" i="1"/>
  <c r="T25" i="1"/>
  <c r="Q47" i="1"/>
  <c r="Q15" i="1"/>
  <c r="T21" i="1"/>
  <c r="T6" i="1"/>
  <c r="Q46" i="1"/>
  <c r="Q30" i="1"/>
  <c r="T4" i="1"/>
  <c r="T36" i="1"/>
  <c r="U38" i="1"/>
  <c r="V38" i="1" s="1"/>
  <c r="T35" i="1"/>
  <c r="Q44" i="1"/>
  <c r="Q28" i="1"/>
  <c r="Q12" i="1"/>
  <c r="Q11" i="1"/>
  <c r="U15" i="1"/>
  <c r="V15" i="1" s="1"/>
  <c r="Q42" i="1"/>
  <c r="Q26" i="1"/>
  <c r="Q10" i="1"/>
  <c r="Q4" i="1"/>
  <c r="U37" i="1"/>
  <c r="V37" i="1" s="1"/>
  <c r="Q13" i="1"/>
  <c r="Q41" i="1"/>
  <c r="Q25" i="1"/>
  <c r="Q9" i="1"/>
  <c r="T13" i="1"/>
  <c r="G18" i="18"/>
  <c r="K18" i="18" s="1"/>
  <c r="G17" i="18"/>
  <c r="K17" i="18" s="1"/>
  <c r="G16" i="18"/>
  <c r="K16" i="18" s="1"/>
  <c r="G15" i="18"/>
  <c r="K15" i="18" s="1"/>
  <c r="G11" i="18"/>
  <c r="K11" i="18" s="1"/>
  <c r="G8" i="18"/>
  <c r="K8" i="18" s="1"/>
  <c r="G10" i="18"/>
  <c r="K10" i="18" s="1"/>
  <c r="G9" i="18"/>
  <c r="K9" i="18" s="1"/>
  <c r="G7" i="18"/>
  <c r="K7" i="18" s="1"/>
  <c r="H8" i="3"/>
  <c r="G12" i="5"/>
  <c r="J7" i="5" s="1"/>
  <c r="G9" i="5"/>
  <c r="J6" i="5" s="1"/>
  <c r="H4" i="3"/>
  <c r="T20" i="1"/>
  <c r="T33" i="1"/>
  <c r="T41" i="1"/>
  <c r="T40" i="1"/>
  <c r="T28" i="1"/>
  <c r="T29" i="1"/>
  <c r="T23" i="1"/>
  <c r="T24" i="1"/>
  <c r="T18" i="1"/>
  <c r="T14" i="1"/>
  <c r="T10" i="1"/>
  <c r="T9" i="1"/>
  <c r="T12" i="1"/>
  <c r="T22" i="1"/>
  <c r="T27" i="1"/>
  <c r="O3" i="18" l="1"/>
  <c r="J9" i="5"/>
  <c r="K5" i="5" s="1"/>
  <c r="J13" i="5" s="1"/>
  <c r="K13" i="5" s="1"/>
  <c r="O4" i="18"/>
  <c r="O7" i="18" l="1"/>
  <c r="N11" i="18" s="1"/>
  <c r="K6" i="5"/>
  <c r="J14" i="5" s="1"/>
  <c r="K14" i="5" s="1"/>
  <c r="K8" i="5"/>
  <c r="J16" i="5" s="1"/>
  <c r="K16" i="5" s="1"/>
  <c r="K7" i="5"/>
  <c r="J15" i="5" s="1"/>
  <c r="K15" i="5" s="1"/>
  <c r="E16" i="15"/>
</calcChain>
</file>

<file path=xl/sharedStrings.xml><?xml version="1.0" encoding="utf-8"?>
<sst xmlns="http://schemas.openxmlformats.org/spreadsheetml/2006/main" count="373" uniqueCount="94">
  <si>
    <t>Indentor</t>
  </si>
  <si>
    <t>Indentor A</t>
  </si>
  <si>
    <t>Indentor B</t>
  </si>
  <si>
    <t>Indentor C</t>
  </si>
  <si>
    <t>Indent</t>
  </si>
  <si>
    <t>PR Creation Date</t>
  </si>
  <si>
    <t>PR Approved Date</t>
  </si>
  <si>
    <t>PO Date</t>
  </si>
  <si>
    <t>PO No</t>
  </si>
  <si>
    <t>Vendor Code</t>
  </si>
  <si>
    <t>Item Description</t>
  </si>
  <si>
    <t>Qtn Price</t>
  </si>
  <si>
    <t>Chair</t>
  </si>
  <si>
    <t xml:space="preserve">Table </t>
  </si>
  <si>
    <t>JK Paper</t>
  </si>
  <si>
    <t>Water Bottle</t>
  </si>
  <si>
    <t>LED Light</t>
  </si>
  <si>
    <t>Ceiling Fan</t>
  </si>
  <si>
    <t>Exhaust Fan</t>
  </si>
  <si>
    <t>Tablet Device</t>
  </si>
  <si>
    <t>Memory Card</t>
  </si>
  <si>
    <t>Laptop</t>
  </si>
  <si>
    <t>Pierre Cardin Set</t>
  </si>
  <si>
    <t>Vending Machine</t>
  </si>
  <si>
    <t>Cloth Dryer stand</t>
  </si>
  <si>
    <t>Note Pad</t>
  </si>
  <si>
    <t>Geyser</t>
  </si>
  <si>
    <t>PO Qty</t>
  </si>
  <si>
    <t>Quotation Value</t>
  </si>
  <si>
    <t>Nego Price</t>
  </si>
  <si>
    <t>PO Basic Value</t>
  </si>
  <si>
    <t>Buyer</t>
  </si>
  <si>
    <t>Category</t>
  </si>
  <si>
    <t>Buyer A</t>
  </si>
  <si>
    <t>Furniture</t>
  </si>
  <si>
    <t>Buyer C</t>
  </si>
  <si>
    <t>Buyer D</t>
  </si>
  <si>
    <t>Stationery</t>
  </si>
  <si>
    <t>MRO</t>
  </si>
  <si>
    <t>IT Hardware</t>
  </si>
  <si>
    <t>Office Equipments</t>
  </si>
  <si>
    <t>Buyer B</t>
  </si>
  <si>
    <t>Savings</t>
  </si>
  <si>
    <t>GRN Qty</t>
  </si>
  <si>
    <t>GRN Price</t>
  </si>
  <si>
    <t>GRN Value</t>
  </si>
  <si>
    <t>Open PO Qty</t>
  </si>
  <si>
    <t>Open PO Amt</t>
  </si>
  <si>
    <t>OP Count</t>
  </si>
  <si>
    <t>Month</t>
  </si>
  <si>
    <t>Row Labels</t>
  </si>
  <si>
    <t>Grand Total</t>
  </si>
  <si>
    <t>2022</t>
  </si>
  <si>
    <t>Qtr2</t>
  </si>
  <si>
    <t>Apr</t>
  </si>
  <si>
    <t>May</t>
  </si>
  <si>
    <t>Jun</t>
  </si>
  <si>
    <t>Qtr3</t>
  </si>
  <si>
    <t>Jul</t>
  </si>
  <si>
    <t>Aug</t>
  </si>
  <si>
    <t>Sep</t>
  </si>
  <si>
    <t>Qtr4</t>
  </si>
  <si>
    <t>Oct</t>
  </si>
  <si>
    <t>Nov</t>
  </si>
  <si>
    <t>Dec</t>
  </si>
  <si>
    <t>2023</t>
  </si>
  <si>
    <t>Qtr1</t>
  </si>
  <si>
    <t>Jan</t>
  </si>
  <si>
    <t>Feb</t>
  </si>
  <si>
    <t>Mar</t>
  </si>
  <si>
    <t>Sum of Savings</t>
  </si>
  <si>
    <t>PURCHASED</t>
  </si>
  <si>
    <t>Black Area</t>
  </si>
  <si>
    <t>Qrt</t>
  </si>
  <si>
    <t>Purchased</t>
  </si>
  <si>
    <t>%Purchased</t>
  </si>
  <si>
    <t>Total</t>
  </si>
  <si>
    <t>Blank Area</t>
  </si>
  <si>
    <t xml:space="preserve">Quotation Value </t>
  </si>
  <si>
    <t>PO Value</t>
  </si>
  <si>
    <t>Amount Saved</t>
  </si>
  <si>
    <t>top</t>
  </si>
  <si>
    <t>po</t>
  </si>
  <si>
    <t>% diff</t>
  </si>
  <si>
    <t>Average%</t>
  </si>
  <si>
    <t>remaining quantity</t>
  </si>
  <si>
    <t xml:space="preserve"> item pruchase order </t>
  </si>
  <si>
    <t>category wise saved</t>
  </si>
  <si>
    <t xml:space="preserve"> Open PO Amount</t>
  </si>
  <si>
    <t xml:space="preserve">Indentor PO  </t>
  </si>
  <si>
    <t>total</t>
  </si>
  <si>
    <t>Qtr</t>
  </si>
  <si>
    <t>AMOUNT</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</si>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</sst>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 &quot;₹&quot;\ * #,##0_ ;_ &quot;₹&quot;\ * \-#,##0_ ;_ &quot;₹&quot;\ * &quot;-&quot;_ ;_ @_ "/>
    <numFmt numFmtId="44" formatCode="_ &quot;₹&quot;\ * #,##0.00_ ;_ &quot;₹&quot;\ * \-#,##0.00_ ;_ &quot;₹&quot;\ * &quot;-&quot;??_ ;_ @_ "/>
    <numFmt numFmtId="43" formatCode="_ * #,##0.00_ ;_ * \-#,##0.00_ ;_ * &quot;-&quot;??_ ;_ @_ "/>
    <numFmt numFmtId="164" formatCode="_ * #,##0_ ;_ * \-#,##0_ ;_ * &quot;-&quot;??_ ;_ @_ "/>
    <numFmt numFmtId="165" formatCode="0.0%"/>
  </numFmts>
  <fonts count="8" x14ac:knownFonts="1">
    <font>
      <sz val="11"/>
      <color theme="1"/>
      <name val="Calibri"/>
      <family val="2"/>
      <scheme val="minor"/>
    </font>
    <font>
      <sz val="11"/>
      <color theme="1"/>
      <name val="Calibri"/>
      <family val="2"/>
      <scheme val="minor"/>
    </font>
    <font>
      <b/>
      <sz val="10"/>
      <color theme="0"/>
      <name val="Calibri"/>
      <family val="2"/>
      <scheme val="minor"/>
    </font>
    <font>
      <sz val="10"/>
      <name val="Calibri"/>
      <family val="2"/>
      <scheme val="minor"/>
    </font>
    <font>
      <sz val="11"/>
      <name val="Calibri"/>
      <family val="2"/>
      <scheme val="minor"/>
    </font>
    <font>
      <b/>
      <sz val="11"/>
      <color theme="0"/>
      <name val="Calibri"/>
      <family val="2"/>
      <scheme val="minor"/>
    </font>
    <font>
      <sz val="8"/>
      <name val="Calibri"/>
      <family val="2"/>
      <scheme val="minor"/>
    </font>
    <font>
      <b/>
      <sz val="11"/>
      <color theme="0" tint="-4.9989318521683403E-2"/>
      <name val="Calibri"/>
      <family val="2"/>
      <scheme val="minor"/>
    </font>
  </fonts>
  <fills count="11">
    <fill>
      <patternFill patternType="none"/>
    </fill>
    <fill>
      <patternFill patternType="gray125"/>
    </fill>
    <fill>
      <patternFill patternType="solid">
        <fgColor theme="8"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rgb="FF0070C0"/>
        <bgColor indexed="64"/>
      </patternFill>
    </fill>
    <fill>
      <patternFill patternType="solid">
        <fgColor rgb="FF003049"/>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2" fillId="2" borderId="1" xfId="0" applyFont="1" applyFill="1" applyBorder="1" applyAlignment="1">
      <alignment horizontal="center" vertical="top"/>
    </xf>
    <xf numFmtId="0" fontId="3" fillId="3" borderId="1" xfId="0" applyFont="1" applyFill="1" applyBorder="1" applyAlignment="1">
      <alignment vertical="top"/>
    </xf>
    <xf numFmtId="0" fontId="3" fillId="3" borderId="1" xfId="0" applyFont="1" applyFill="1" applyBorder="1"/>
    <xf numFmtId="14" fontId="3" fillId="3" borderId="1" xfId="0" applyNumberFormat="1" applyFont="1" applyFill="1" applyBorder="1" applyAlignment="1">
      <alignment horizontal="right" vertical="top"/>
    </xf>
    <xf numFmtId="14" fontId="3" fillId="3" borderId="1" xfId="0" applyNumberFormat="1" applyFont="1" applyFill="1" applyBorder="1"/>
    <xf numFmtId="14" fontId="2" fillId="2" borderId="1" xfId="0" applyNumberFormat="1" applyFont="1" applyFill="1" applyBorder="1" applyAlignment="1">
      <alignment horizontal="center" vertical="top"/>
    </xf>
    <xf numFmtId="3" fontId="3" fillId="3" borderId="1" xfId="0" applyNumberFormat="1" applyFont="1" applyFill="1" applyBorder="1"/>
    <xf numFmtId="164" fontId="2" fillId="2" borderId="1" xfId="1" applyNumberFormat="1" applyFont="1" applyFill="1" applyBorder="1" applyAlignment="1">
      <alignment horizontal="center" vertical="top"/>
    </xf>
    <xf numFmtId="0" fontId="2" fillId="2" borderId="1" xfId="0" applyFont="1" applyFill="1" applyBorder="1" applyAlignment="1">
      <alignment horizontal="center"/>
    </xf>
    <xf numFmtId="0" fontId="4" fillId="3" borderId="1" xfId="0" applyFont="1" applyFill="1" applyBorder="1"/>
    <xf numFmtId="17" fontId="4" fillId="3" borderId="1" xfId="0" applyNumberFormat="1" applyFont="1" applyFill="1" applyBorder="1"/>
    <xf numFmtId="0" fontId="0" fillId="0" borderId="0" xfId="0" pivotButton="1"/>
    <xf numFmtId="0" fontId="0" fillId="0" borderId="0" xfId="0" applyAlignment="1">
      <alignment horizontal="left"/>
    </xf>
    <xf numFmtId="42" fontId="0" fillId="0" borderId="0" xfId="0" applyNumberFormat="1"/>
    <xf numFmtId="10" fontId="0" fillId="0" borderId="0" xfId="0" applyNumberFormat="1"/>
    <xf numFmtId="165" fontId="0" fillId="0" borderId="0" xfId="0" applyNumberFormat="1"/>
    <xf numFmtId="44" fontId="0" fillId="0" borderId="0" xfId="0" applyNumberFormat="1"/>
    <xf numFmtId="0" fontId="0" fillId="6" borderId="0" xfId="0" applyFill="1"/>
    <xf numFmtId="0" fontId="0" fillId="7" borderId="0" xfId="0" applyFill="1"/>
    <xf numFmtId="0" fontId="0" fillId="8" borderId="0" xfId="0" applyFill="1"/>
    <xf numFmtId="0" fontId="0" fillId="9" borderId="0" xfId="0" applyFill="1"/>
    <xf numFmtId="165" fontId="0" fillId="6" borderId="0" xfId="0" applyNumberFormat="1" applyFill="1"/>
    <xf numFmtId="44" fontId="3" fillId="3" borderId="1" xfId="0" applyNumberFormat="1" applyFont="1" applyFill="1" applyBorder="1"/>
    <xf numFmtId="42" fontId="3" fillId="3" borderId="1" xfId="0" applyNumberFormat="1" applyFont="1" applyFill="1" applyBorder="1"/>
    <xf numFmtId="9" fontId="0" fillId="0" borderId="0" xfId="0" applyNumberFormat="1"/>
    <xf numFmtId="0" fontId="0" fillId="0" borderId="1" xfId="0" pivotButton="1" applyBorder="1"/>
    <xf numFmtId="0" fontId="0" fillId="0" borderId="1" xfId="0" applyBorder="1"/>
    <xf numFmtId="0" fontId="0" fillId="0" borderId="1" xfId="0" applyBorder="1" applyAlignment="1">
      <alignment horizontal="left"/>
    </xf>
    <xf numFmtId="42" fontId="0" fillId="0" borderId="1" xfId="0" applyNumberFormat="1" applyBorder="1"/>
    <xf numFmtId="0" fontId="5" fillId="4" borderId="1" xfId="0" applyFont="1" applyFill="1" applyBorder="1" applyAlignment="1">
      <alignment horizontal="center" vertical="center"/>
    </xf>
    <xf numFmtId="0" fontId="5" fillId="4" borderId="1" xfId="0" applyFont="1" applyFill="1" applyBorder="1"/>
    <xf numFmtId="165" fontId="0" fillId="0" borderId="1" xfId="2" applyNumberFormat="1" applyFont="1" applyBorder="1"/>
    <xf numFmtId="165" fontId="0" fillId="0" borderId="1" xfId="0" applyNumberFormat="1" applyBorder="1"/>
    <xf numFmtId="44" fontId="0" fillId="0" borderId="1" xfId="0" applyNumberFormat="1" applyBorder="1"/>
    <xf numFmtId="0" fontId="0" fillId="0" borderId="1" xfId="0" applyBorder="1" applyAlignment="1">
      <alignment horizontal="center" vertical="center"/>
    </xf>
    <xf numFmtId="42" fontId="0" fillId="0" borderId="1" xfId="0" applyNumberFormat="1" applyBorder="1" applyAlignment="1">
      <alignment horizontal="center" vertical="center"/>
    </xf>
    <xf numFmtId="44" fontId="0" fillId="0" borderId="1" xfId="0" applyNumberFormat="1" applyBorder="1" applyAlignment="1">
      <alignment horizontal="center" vertical="center"/>
    </xf>
    <xf numFmtId="10" fontId="5" fillId="4" borderId="1" xfId="0" applyNumberFormat="1" applyFont="1" applyFill="1" applyBorder="1"/>
    <xf numFmtId="10" fontId="0" fillId="0" borderId="1" xfId="0" applyNumberFormat="1" applyBorder="1"/>
    <xf numFmtId="0" fontId="7" fillId="5" borderId="1" xfId="0" applyFont="1" applyFill="1" applyBorder="1"/>
    <xf numFmtId="44" fontId="7" fillId="5" borderId="1" xfId="0" applyNumberFormat="1" applyFont="1" applyFill="1" applyBorder="1"/>
    <xf numFmtId="10" fontId="0" fillId="0" borderId="1" xfId="0" applyNumberFormat="1" applyBorder="1" applyAlignment="1">
      <alignment horizontal="center" vertical="center"/>
    </xf>
    <xf numFmtId="0" fontId="5" fillId="10" borderId="1" xfId="0" applyFont="1" applyFill="1" applyBorder="1" applyAlignment="1">
      <alignment horizontal="center" vertical="center"/>
    </xf>
    <xf numFmtId="42" fontId="5" fillId="10" borderId="1" xfId="0" applyNumberFormat="1" applyFont="1" applyFill="1" applyBorder="1" applyAlignment="1">
      <alignment horizontal="center" vertical="center"/>
    </xf>
    <xf numFmtId="10" fontId="5" fillId="10" borderId="1" xfId="0" applyNumberFormat="1" applyFont="1" applyFill="1" applyBorder="1" applyAlignment="1">
      <alignment horizontal="center" vertical="center"/>
    </xf>
    <xf numFmtId="0" fontId="5" fillId="10" borderId="1" xfId="0" applyFont="1" applyFill="1" applyBorder="1"/>
    <xf numFmtId="42" fontId="5" fillId="10" borderId="1" xfId="0" applyNumberFormat="1" applyFont="1" applyFill="1" applyBorder="1"/>
    <xf numFmtId="9" fontId="0" fillId="0" borderId="1" xfId="0" applyNumberFormat="1" applyBorder="1"/>
    <xf numFmtId="9" fontId="5" fillId="4" borderId="1" xfId="0" applyNumberFormat="1" applyFont="1" applyFill="1" applyBorder="1"/>
    <xf numFmtId="165" fontId="5" fillId="10" borderId="1" xfId="0" applyNumberFormat="1" applyFont="1" applyFill="1" applyBorder="1"/>
    <xf numFmtId="44" fontId="5" fillId="4" borderId="1" xfId="0" applyNumberFormat="1" applyFont="1" applyFill="1" applyBorder="1"/>
    <xf numFmtId="42" fontId="5" fillId="4" borderId="1" xfId="0" applyNumberFormat="1" applyFont="1" applyFill="1" applyBorder="1"/>
    <xf numFmtId="0" fontId="0" fillId="0" borderId="1" xfId="0" applyNumberFormat="1" applyBorder="1"/>
  </cellXfs>
  <cellStyles count="3">
    <cellStyle name="Comma" xfId="1" builtinId="3"/>
    <cellStyle name="Normal" xfId="0" builtinId="0"/>
    <cellStyle name="Percent" xfId="2" builtinId="5"/>
  </cellStyles>
  <dxfs count="62">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 &quot;₹&quot;\ * #,##0.00_ ;_ &quot;₹&quot;\ * \-#,##0.0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2" formatCode="_ &quot;₹&quot;\ * #,##0_ ;_ &quot;₹&quot;\ * \-#,##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2" formatCode="_ &quot;₹&quot;\ * #,##0_ ;_ &quot;₹&quot;\ * \-#,##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2" formatCode="_ &quot;₹&quot;\ * #,##0_ ;_ &quot;₹&quot;\ * \-#,##0_ ;_ &quot;₹&quot;\ * &quot;-&quot;_ ;_ @_ "/>
    </dxf>
    <dxf>
      <font>
        <b/>
        <i val="0"/>
        <sz val="14"/>
        <color rgb="FFFF0000"/>
        <name val="Agency FB"/>
        <family val="2"/>
        <scheme val="none"/>
      </font>
      <fill>
        <patternFill>
          <bgColor rgb="FF003049"/>
        </patternFill>
      </fill>
      <border>
        <bottom style="thin">
          <color theme="4"/>
        </bottom>
        <vertical/>
        <horizontal/>
      </border>
    </dxf>
    <dxf>
      <font>
        <b/>
        <i val="0"/>
        <sz val="14"/>
        <color theme="0"/>
        <name val="Agency FB"/>
        <family val="2"/>
        <scheme val="none"/>
      </font>
      <fill>
        <patternFill>
          <fgColor rgb="FF003049"/>
          <bgColor rgb="FF003049"/>
        </patternFill>
      </fill>
      <border diagonalUp="0" diagonalDown="0">
        <left/>
        <right/>
        <top/>
        <bottom/>
        <vertical/>
        <horizontal/>
      </border>
    </dxf>
  </dxfs>
  <tableStyles count="1" defaultTableStyle="TableStyleMedium2" defaultPivotStyle="PivotStyleLight16">
    <tableStyle name="SlicerStyleLight1 2" pivot="0" table="0" count="10" xr9:uid="{6723BDD9-06AC-468B-8737-4CE948CE9334}">
      <tableStyleElement type="wholeTable" dxfId="61"/>
      <tableStyleElement type="headerRow" dxfId="60"/>
    </tableStyle>
  </tableStyles>
  <colors>
    <mruColors>
      <color rgb="FF003049"/>
      <color rgb="FF669BBC"/>
      <color rgb="FFC1121F"/>
      <color rgb="FF7800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name val="Agency FB"/>
            <family val="2"/>
            <scheme val="none"/>
          </font>
          <fill>
            <patternFill patternType="solid">
              <fgColor theme="4" tint="0.59999389629810485"/>
              <bgColor rgb="FF00304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4"/>
            <color theme="0"/>
            <name val="Agency FB"/>
            <family val="2"/>
            <scheme val="none"/>
          </font>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'Month trend'!$H$4</c:f>
              <c:strCache>
                <c:ptCount val="1"/>
                <c:pt idx="0">
                  <c:v>Sum of Savings</c:v>
                </c:pt>
              </c:strCache>
            </c:strRef>
          </c:tx>
          <c:spPr>
            <a:gradFill>
              <a:gsLst>
                <a:gs pos="7000">
                  <a:srgbClr val="C1121F"/>
                </a:gs>
                <a:gs pos="100000">
                  <a:schemeClr val="bg1"/>
                </a:gs>
              </a:gsLst>
              <a:lin ang="5400000" scaled="1"/>
            </a:gradFill>
            <a:ln>
              <a:noFill/>
            </a:ln>
            <a:effectLst/>
          </c:spPr>
          <c:val>
            <c:numRef>
              <c:f>'Month trend'!$H$5:$H$15</c:f>
              <c:numCache>
                <c:formatCode>_("₹"* #,##0_);_("₹"* \(#,##0\);_("₹"* "-"_);_(@_)</c:formatCode>
                <c:ptCount val="11"/>
                <c:pt idx="0">
                  <c:v>30600</c:v>
                </c:pt>
                <c:pt idx="1">
                  <c:v>2250</c:v>
                </c:pt>
                <c:pt idx="2">
                  <c:v>41400</c:v>
                </c:pt>
                <c:pt idx="3">
                  <c:v>73244</c:v>
                </c:pt>
                <c:pt idx="4">
                  <c:v>12100</c:v>
                </c:pt>
                <c:pt idx="5">
                  <c:v>56468</c:v>
                </c:pt>
                <c:pt idx="6">
                  <c:v>46008</c:v>
                </c:pt>
                <c:pt idx="7">
                  <c:v>80250</c:v>
                </c:pt>
                <c:pt idx="8">
                  <c:v>8270</c:v>
                </c:pt>
                <c:pt idx="9">
                  <c:v>29750</c:v>
                </c:pt>
                <c:pt idx="10">
                  <c:v>39490</c:v>
                </c:pt>
              </c:numCache>
            </c:numRef>
          </c:val>
          <c:extLst>
            <c:ext xmlns:c16="http://schemas.microsoft.com/office/drawing/2014/chart" uri="{C3380CC4-5D6E-409C-BE32-E72D297353CC}">
              <c16:uniqueId val="{00000000-AFA7-47EF-9183-B8C54E71693F}"/>
            </c:ext>
          </c:extLst>
        </c:ser>
        <c:dLbls>
          <c:showLegendKey val="0"/>
          <c:showVal val="0"/>
          <c:showCatName val="0"/>
          <c:showSerName val="0"/>
          <c:showPercent val="0"/>
          <c:showBubbleSize val="0"/>
        </c:dLbls>
        <c:axId val="371553760"/>
        <c:axId val="270122176"/>
      </c:areaChart>
      <c:lineChart>
        <c:grouping val="stacked"/>
        <c:varyColors val="0"/>
        <c:ser>
          <c:idx val="0"/>
          <c:order val="0"/>
          <c:tx>
            <c:strRef>
              <c:f>'Month trend'!$G$4</c:f>
              <c:strCache>
                <c:ptCount val="1"/>
                <c:pt idx="0">
                  <c:v>Sum of Savings</c:v>
                </c:pt>
              </c:strCache>
            </c:strRef>
          </c:tx>
          <c:spPr>
            <a:ln w="82550" cap="rnd">
              <a:solidFill>
                <a:srgbClr val="C1121F"/>
              </a:solidFill>
              <a:round/>
              <a:headEnd type="oval"/>
              <a:tailEnd type="oval"/>
            </a:ln>
            <a:effectLst/>
          </c:spPr>
          <c:marker>
            <c:symbol val="none"/>
          </c:marker>
          <c:cat>
            <c:strRef>
              <c:f>'Month trend'!$F$5:$F$15</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'Month trend'!$G$5:$G$15</c:f>
              <c:numCache>
                <c:formatCode>_("₹"* #,##0_);_("₹"* \(#,##0\);_("₹"* "-"_);_(@_)</c:formatCode>
                <c:ptCount val="11"/>
                <c:pt idx="0">
                  <c:v>30600</c:v>
                </c:pt>
                <c:pt idx="1">
                  <c:v>2250</c:v>
                </c:pt>
                <c:pt idx="2">
                  <c:v>41400</c:v>
                </c:pt>
                <c:pt idx="3">
                  <c:v>73244</c:v>
                </c:pt>
                <c:pt idx="4">
                  <c:v>12100</c:v>
                </c:pt>
                <c:pt idx="5">
                  <c:v>56468</c:v>
                </c:pt>
                <c:pt idx="6">
                  <c:v>46008</c:v>
                </c:pt>
                <c:pt idx="7">
                  <c:v>80250</c:v>
                </c:pt>
                <c:pt idx="8">
                  <c:v>8270</c:v>
                </c:pt>
                <c:pt idx="9">
                  <c:v>29750</c:v>
                </c:pt>
                <c:pt idx="10">
                  <c:v>39490</c:v>
                </c:pt>
              </c:numCache>
            </c:numRef>
          </c:val>
          <c:smooth val="1"/>
          <c:extLst>
            <c:ext xmlns:c16="http://schemas.microsoft.com/office/drawing/2014/chart" uri="{C3380CC4-5D6E-409C-BE32-E72D297353CC}">
              <c16:uniqueId val="{00000001-AFA7-47EF-9183-B8C54E71693F}"/>
            </c:ext>
          </c:extLst>
        </c:ser>
        <c:dLbls>
          <c:showLegendKey val="0"/>
          <c:showVal val="0"/>
          <c:showCatName val="0"/>
          <c:showSerName val="0"/>
          <c:showPercent val="0"/>
          <c:showBubbleSize val="0"/>
        </c:dLbls>
        <c:marker val="1"/>
        <c:smooth val="0"/>
        <c:axId val="371553760"/>
        <c:axId val="270122176"/>
      </c:lineChart>
      <c:catAx>
        <c:axId val="371553760"/>
        <c:scaling>
          <c:orientation val="minMax"/>
        </c:scaling>
        <c:delete val="0"/>
        <c:axPos val="b"/>
        <c:numFmt formatCode="General" sourceLinked="1"/>
        <c:majorTickMark val="none"/>
        <c:minorTickMark val="none"/>
        <c:tickLblPos val="nextTo"/>
        <c:spPr>
          <a:noFill/>
          <a:ln w="22225" cap="flat" cmpd="sng" algn="ctr">
            <a:solidFill>
              <a:srgbClr val="C1121F">
                <a:alpha val="67000"/>
              </a:srgb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122176"/>
        <c:crosses val="autoZero"/>
        <c:auto val="1"/>
        <c:lblAlgn val="ctr"/>
        <c:lblOffset val="100"/>
        <c:noMultiLvlLbl val="0"/>
      </c:catAx>
      <c:valAx>
        <c:axId val="270122176"/>
        <c:scaling>
          <c:orientation val="minMax"/>
        </c:scaling>
        <c:delete val="1"/>
        <c:axPos val="l"/>
        <c:majorGridlines>
          <c:spPr>
            <a:ln w="9525" cap="flat" cmpd="sng" algn="ctr">
              <a:noFill/>
              <a:round/>
            </a:ln>
            <a:effectLst/>
          </c:spPr>
        </c:majorGridlines>
        <c:numFmt formatCode="_(&quot;₹&quot;* #,##0_);_(&quot;₹&quot;* \(#,##0\);_(&quot;₹&quot;* &quot;-&quot;_);_(@_)" sourceLinked="1"/>
        <c:majorTickMark val="none"/>
        <c:minorTickMark val="none"/>
        <c:tickLblPos val="nextTo"/>
        <c:crossAx val="37155376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Year!$F$4</c:f>
              <c:strCache>
                <c:ptCount val="1"/>
                <c:pt idx="0">
                  <c:v>2022</c:v>
                </c:pt>
              </c:strCache>
            </c:strRef>
          </c:tx>
          <c:spPr>
            <a:solidFill>
              <a:srgbClr val="C1121F"/>
            </a:solidFill>
          </c:spPr>
          <c:explosion val="2"/>
          <c:dPt>
            <c:idx val="0"/>
            <c:bubble3D val="0"/>
            <c:spPr>
              <a:solidFill>
                <a:srgbClr val="C1121F"/>
              </a:solidFill>
              <a:ln w="19050">
                <a:solidFill>
                  <a:schemeClr val="lt1"/>
                </a:solidFill>
              </a:ln>
              <a:effectLst/>
            </c:spPr>
            <c:extLst>
              <c:ext xmlns:c16="http://schemas.microsoft.com/office/drawing/2014/chart" uri="{C3380CC4-5D6E-409C-BE32-E72D297353CC}">
                <c16:uniqueId val="{00000001-14C4-4B1B-8928-16800995D18C}"/>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14C4-4B1B-8928-16800995D18C}"/>
              </c:ext>
            </c:extLst>
          </c:dPt>
          <c:cat>
            <c:strRef>
              <c:f>Year!$G$3:$H$3</c:f>
              <c:strCache>
                <c:ptCount val="2"/>
                <c:pt idx="0">
                  <c:v>PURCHASED</c:v>
                </c:pt>
                <c:pt idx="1">
                  <c:v>Black Area</c:v>
                </c:pt>
              </c:strCache>
            </c:strRef>
          </c:cat>
          <c:val>
            <c:numRef>
              <c:f>Year!$G$4:$H$4</c:f>
              <c:numCache>
                <c:formatCode>0.0%</c:formatCode>
                <c:ptCount val="2"/>
                <c:pt idx="0">
                  <c:v>0.82543294979522164</c:v>
                </c:pt>
                <c:pt idx="1">
                  <c:v>0.17456705020477836</c:v>
                </c:pt>
              </c:numCache>
            </c:numRef>
          </c:val>
          <c:extLst>
            <c:ext xmlns:c16="http://schemas.microsoft.com/office/drawing/2014/chart" uri="{C3380CC4-5D6E-409C-BE32-E72D297353CC}">
              <c16:uniqueId val="{00000004-14C4-4B1B-8928-16800995D18C}"/>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Year!$F$8</c:f>
              <c:strCache>
                <c:ptCount val="1"/>
                <c:pt idx="0">
                  <c:v>2023</c:v>
                </c:pt>
              </c:strCache>
            </c:strRef>
          </c:tx>
          <c:explosion val="2"/>
          <c:dPt>
            <c:idx val="0"/>
            <c:bubble3D val="0"/>
            <c:spPr>
              <a:solidFill>
                <a:srgbClr val="003049"/>
              </a:solidFill>
              <a:ln w="19050">
                <a:solidFill>
                  <a:schemeClr val="lt1"/>
                </a:solidFill>
              </a:ln>
              <a:effectLst/>
            </c:spPr>
            <c:extLst>
              <c:ext xmlns:c16="http://schemas.microsoft.com/office/drawing/2014/chart" uri="{C3380CC4-5D6E-409C-BE32-E72D297353CC}">
                <c16:uniqueId val="{00000001-14C4-4B1B-8928-16800995D18C}"/>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14C4-4B1B-8928-16800995D18C}"/>
              </c:ext>
            </c:extLst>
          </c:dPt>
          <c:cat>
            <c:strRef>
              <c:f>Year!$G$7:$H$7</c:f>
              <c:strCache>
                <c:ptCount val="2"/>
                <c:pt idx="0">
                  <c:v>PURCHASED</c:v>
                </c:pt>
                <c:pt idx="1">
                  <c:v>Black Area</c:v>
                </c:pt>
              </c:strCache>
            </c:strRef>
          </c:cat>
          <c:val>
            <c:numRef>
              <c:f>Year!$G$8:$H$8</c:f>
              <c:numCache>
                <c:formatCode>0.0%</c:formatCode>
                <c:ptCount val="2"/>
                <c:pt idx="0">
                  <c:v>0.17456705020477831</c:v>
                </c:pt>
                <c:pt idx="1">
                  <c:v>0.82543294979522175</c:v>
                </c:pt>
              </c:numCache>
            </c:numRef>
          </c:val>
          <c:extLst>
            <c:ext xmlns:c16="http://schemas.microsoft.com/office/drawing/2014/chart" uri="{C3380CC4-5D6E-409C-BE32-E72D297353CC}">
              <c16:uniqueId val="{00000004-14C4-4B1B-8928-16800995D18C}"/>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Qrt!$I$13</c:f>
              <c:strCache>
                <c:ptCount val="1"/>
                <c:pt idx="0">
                  <c:v>Qtr1</c:v>
                </c:pt>
              </c:strCache>
            </c:strRef>
          </c:tx>
          <c:dPt>
            <c:idx val="0"/>
            <c:bubble3D val="0"/>
            <c:spPr>
              <a:solidFill>
                <a:srgbClr val="C1121F"/>
              </a:solidFill>
              <a:ln w="19050">
                <a:noFill/>
              </a:ln>
              <a:effectLst/>
            </c:spPr>
            <c:extLst>
              <c:ext xmlns:c16="http://schemas.microsoft.com/office/drawing/2014/chart" uri="{C3380CC4-5D6E-409C-BE32-E72D297353CC}">
                <c16:uniqueId val="{00000001-6003-4CC8-85F7-89833B8C590A}"/>
              </c:ext>
            </c:extLst>
          </c:dPt>
          <c:dPt>
            <c:idx val="1"/>
            <c:bubble3D val="0"/>
            <c:spPr>
              <a:noFill/>
              <a:ln w="19050">
                <a:noFill/>
              </a:ln>
              <a:effectLst/>
            </c:spPr>
            <c:extLst>
              <c:ext xmlns:c16="http://schemas.microsoft.com/office/drawing/2014/chart" uri="{C3380CC4-5D6E-409C-BE32-E72D297353CC}">
                <c16:uniqueId val="{00000003-6003-4CC8-85F7-89833B8C590A}"/>
              </c:ext>
            </c:extLst>
          </c:dPt>
          <c:cat>
            <c:strRef>
              <c:f>Qrt!$J$12:$K$12</c:f>
              <c:strCache>
                <c:ptCount val="2"/>
                <c:pt idx="0">
                  <c:v>%Purchased</c:v>
                </c:pt>
                <c:pt idx="1">
                  <c:v>Blank Area</c:v>
                </c:pt>
              </c:strCache>
            </c:strRef>
          </c:cat>
          <c:val>
            <c:numRef>
              <c:f>Qrt!$J$13:$K$13</c:f>
              <c:numCache>
                <c:formatCode>0.00%</c:formatCode>
                <c:ptCount val="2"/>
                <c:pt idx="0">
                  <c:v>0.17456705020477831</c:v>
                </c:pt>
                <c:pt idx="1">
                  <c:v>0.82543294979522175</c:v>
                </c:pt>
              </c:numCache>
            </c:numRef>
          </c:val>
          <c:extLst>
            <c:ext xmlns:c16="http://schemas.microsoft.com/office/drawing/2014/chart" uri="{C3380CC4-5D6E-409C-BE32-E72D297353CC}">
              <c16:uniqueId val="{00000004-6003-4CC8-85F7-89833B8C59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Qrt!$I$14</c:f>
              <c:strCache>
                <c:ptCount val="1"/>
                <c:pt idx="0">
                  <c:v>Qtr2</c:v>
                </c:pt>
              </c:strCache>
            </c:strRef>
          </c:tx>
          <c:dPt>
            <c:idx val="0"/>
            <c:bubble3D val="0"/>
            <c:spPr>
              <a:solidFill>
                <a:srgbClr val="003049"/>
              </a:solidFill>
              <a:ln w="19050">
                <a:noFill/>
              </a:ln>
              <a:effectLst/>
            </c:spPr>
            <c:extLst>
              <c:ext xmlns:c16="http://schemas.microsoft.com/office/drawing/2014/chart" uri="{C3380CC4-5D6E-409C-BE32-E72D297353CC}">
                <c16:uniqueId val="{00000001-6003-4CC8-85F7-89833B8C590A}"/>
              </c:ext>
            </c:extLst>
          </c:dPt>
          <c:dPt>
            <c:idx val="1"/>
            <c:bubble3D val="0"/>
            <c:spPr>
              <a:noFill/>
              <a:ln w="19050">
                <a:noFill/>
              </a:ln>
              <a:effectLst/>
            </c:spPr>
            <c:extLst>
              <c:ext xmlns:c16="http://schemas.microsoft.com/office/drawing/2014/chart" uri="{C3380CC4-5D6E-409C-BE32-E72D297353CC}">
                <c16:uniqueId val="{00000003-6003-4CC8-85F7-89833B8C590A}"/>
              </c:ext>
            </c:extLst>
          </c:dPt>
          <c:val>
            <c:numRef>
              <c:f>Qrt!$J$14:$K$14</c:f>
              <c:numCache>
                <c:formatCode>0.00%</c:formatCode>
                <c:ptCount val="2"/>
                <c:pt idx="0">
                  <c:v>0.33341013499851885</c:v>
                </c:pt>
                <c:pt idx="1">
                  <c:v>0.66658986500148121</c:v>
                </c:pt>
              </c:numCache>
            </c:numRef>
          </c:val>
          <c:extLst>
            <c:ext xmlns:c16="http://schemas.microsoft.com/office/drawing/2014/chart" uri="{C3380CC4-5D6E-409C-BE32-E72D297353CC}">
              <c16:uniqueId val="{00000004-6003-4CC8-85F7-89833B8C59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Qrt!$I$16</c:f>
              <c:strCache>
                <c:ptCount val="1"/>
                <c:pt idx="0">
                  <c:v>Qtr4</c:v>
                </c:pt>
              </c:strCache>
            </c:strRef>
          </c:tx>
          <c:dPt>
            <c:idx val="0"/>
            <c:bubble3D val="0"/>
            <c:spPr>
              <a:solidFill>
                <a:srgbClr val="780000"/>
              </a:solidFill>
              <a:ln w="19050">
                <a:noFill/>
              </a:ln>
              <a:effectLst/>
            </c:spPr>
            <c:extLst>
              <c:ext xmlns:c16="http://schemas.microsoft.com/office/drawing/2014/chart" uri="{C3380CC4-5D6E-409C-BE32-E72D297353CC}">
                <c16:uniqueId val="{00000001-6003-4CC8-85F7-89833B8C590A}"/>
              </c:ext>
            </c:extLst>
          </c:dPt>
          <c:dPt>
            <c:idx val="1"/>
            <c:bubble3D val="0"/>
            <c:spPr>
              <a:noFill/>
              <a:ln w="19050">
                <a:noFill/>
              </a:ln>
              <a:effectLst/>
            </c:spPr>
            <c:extLst>
              <c:ext xmlns:c16="http://schemas.microsoft.com/office/drawing/2014/chart" uri="{C3380CC4-5D6E-409C-BE32-E72D297353CC}">
                <c16:uniqueId val="{00000003-6003-4CC8-85F7-89833B8C590A}"/>
              </c:ext>
            </c:extLst>
          </c:dPt>
          <c:val>
            <c:numRef>
              <c:f>Qrt!$J$16:$K$16</c:f>
              <c:numCache>
                <c:formatCode>0.00%</c:formatCode>
                <c:ptCount val="2"/>
                <c:pt idx="0">
                  <c:v>0.17573788375362653</c:v>
                </c:pt>
                <c:pt idx="1">
                  <c:v>0.82426211624637347</c:v>
                </c:pt>
              </c:numCache>
            </c:numRef>
          </c:val>
          <c:extLst>
            <c:ext xmlns:c16="http://schemas.microsoft.com/office/drawing/2014/chart" uri="{C3380CC4-5D6E-409C-BE32-E72D297353CC}">
              <c16:uniqueId val="{00000004-6003-4CC8-85F7-89833B8C59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Qrt!$I$15</c:f>
              <c:strCache>
                <c:ptCount val="1"/>
                <c:pt idx="0">
                  <c:v>Qtr3</c:v>
                </c:pt>
              </c:strCache>
            </c:strRef>
          </c:tx>
          <c:dPt>
            <c:idx val="0"/>
            <c:bubble3D val="0"/>
            <c:spPr>
              <a:solidFill>
                <a:srgbClr val="669BBC"/>
              </a:solidFill>
              <a:ln w="19050">
                <a:noFill/>
              </a:ln>
              <a:effectLst/>
            </c:spPr>
            <c:extLst>
              <c:ext xmlns:c16="http://schemas.microsoft.com/office/drawing/2014/chart" uri="{C3380CC4-5D6E-409C-BE32-E72D297353CC}">
                <c16:uniqueId val="{00000001-6003-4CC8-85F7-89833B8C590A}"/>
              </c:ext>
            </c:extLst>
          </c:dPt>
          <c:dPt>
            <c:idx val="1"/>
            <c:bubble3D val="0"/>
            <c:spPr>
              <a:noFill/>
              <a:ln w="19050">
                <a:noFill/>
              </a:ln>
              <a:effectLst/>
            </c:spPr>
            <c:extLst>
              <c:ext xmlns:c16="http://schemas.microsoft.com/office/drawing/2014/chart" uri="{C3380CC4-5D6E-409C-BE32-E72D297353CC}">
                <c16:uniqueId val="{00000003-6003-4CC8-85F7-89833B8C590A}"/>
              </c:ext>
            </c:extLst>
          </c:dPt>
          <c:val>
            <c:numRef>
              <c:f>Qrt!$J$15:$K$15</c:f>
              <c:numCache>
                <c:formatCode>0.00%</c:formatCode>
                <c:ptCount val="2"/>
                <c:pt idx="0">
                  <c:v>0.31628493104307631</c:v>
                </c:pt>
                <c:pt idx="1">
                  <c:v>0.68371506895692369</c:v>
                </c:pt>
              </c:numCache>
            </c:numRef>
          </c:val>
          <c:extLst>
            <c:ext xmlns:c16="http://schemas.microsoft.com/office/drawing/2014/chart" uri="{C3380CC4-5D6E-409C-BE32-E72D297353CC}">
              <c16:uniqueId val="{00000004-6003-4CC8-85F7-89833B8C59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93425461516791E-2"/>
          <c:y val="4.1104495749053671E-2"/>
          <c:w val="0.64566181284629764"/>
          <c:h val="0.91031746382024659"/>
        </c:manualLayout>
      </c:layout>
      <c:barChart>
        <c:barDir val="bar"/>
        <c:grouping val="clustered"/>
        <c:varyColors val="0"/>
        <c:ser>
          <c:idx val="0"/>
          <c:order val="0"/>
          <c:tx>
            <c:strRef>
              <c:f>'item purchased order'!$K$3</c:f>
              <c:strCache>
                <c:ptCount val="1"/>
                <c:pt idx="0">
                  <c:v> item pruchase order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'item purchased order'!$J$4:$J$18</c:f>
              <c:strCache>
                <c:ptCount val="15"/>
                <c:pt idx="0">
                  <c:v>Memory Card</c:v>
                </c:pt>
                <c:pt idx="1">
                  <c:v>Ceiling Fan</c:v>
                </c:pt>
                <c:pt idx="2">
                  <c:v>Laptop</c:v>
                </c:pt>
                <c:pt idx="3">
                  <c:v>Geyser</c:v>
                </c:pt>
                <c:pt idx="4">
                  <c:v>Water Bottle</c:v>
                </c:pt>
                <c:pt idx="5">
                  <c:v>JK Paper</c:v>
                </c:pt>
                <c:pt idx="6">
                  <c:v>LED Light</c:v>
                </c:pt>
                <c:pt idx="7">
                  <c:v>Table </c:v>
                </c:pt>
                <c:pt idx="8">
                  <c:v>Exhaust Fan</c:v>
                </c:pt>
                <c:pt idx="9">
                  <c:v>Tablet Device</c:v>
                </c:pt>
                <c:pt idx="10">
                  <c:v>Note Pad</c:v>
                </c:pt>
                <c:pt idx="11">
                  <c:v>Chair</c:v>
                </c:pt>
                <c:pt idx="12">
                  <c:v>Vending Machine</c:v>
                </c:pt>
                <c:pt idx="13">
                  <c:v>Cloth Dryer stand</c:v>
                </c:pt>
                <c:pt idx="14">
                  <c:v>Pierre Cardin Set</c:v>
                </c:pt>
              </c:strCache>
            </c:strRef>
          </c:cat>
          <c:val>
            <c:numRef>
              <c:f>'item purchased order'!$K$4:$K$18</c:f>
              <c:numCache>
                <c:formatCode>0%</c:formatCode>
                <c:ptCount val="15"/>
                <c:pt idx="0">
                  <c:v>0.125</c:v>
                </c:pt>
                <c:pt idx="1">
                  <c:v>0.10416666666666667</c:v>
                </c:pt>
                <c:pt idx="2">
                  <c:v>8.3333333333333329E-2</c:v>
                </c:pt>
                <c:pt idx="3">
                  <c:v>8.3333333333333329E-2</c:v>
                </c:pt>
                <c:pt idx="4">
                  <c:v>8.3333333333333329E-2</c:v>
                </c:pt>
                <c:pt idx="5">
                  <c:v>8.3333333333333329E-2</c:v>
                </c:pt>
                <c:pt idx="6">
                  <c:v>8.3333333333333329E-2</c:v>
                </c:pt>
                <c:pt idx="7">
                  <c:v>6.25E-2</c:v>
                </c:pt>
                <c:pt idx="8">
                  <c:v>6.25E-2</c:v>
                </c:pt>
                <c:pt idx="9">
                  <c:v>6.25E-2</c:v>
                </c:pt>
                <c:pt idx="10">
                  <c:v>6.25E-2</c:v>
                </c:pt>
                <c:pt idx="11">
                  <c:v>4.1666666666666664E-2</c:v>
                </c:pt>
                <c:pt idx="12">
                  <c:v>2.0833333333333332E-2</c:v>
                </c:pt>
                <c:pt idx="13">
                  <c:v>2.0833333333333332E-2</c:v>
                </c:pt>
                <c:pt idx="14">
                  <c:v>2.0833333333333332E-2</c:v>
                </c:pt>
              </c:numCache>
            </c:numRef>
          </c:val>
          <c:extLst>
            <c:ext xmlns:c16="http://schemas.microsoft.com/office/drawing/2014/chart" uri="{C3380CC4-5D6E-409C-BE32-E72D297353CC}">
              <c16:uniqueId val="{00000000-6890-4A67-A5D9-FD7F97629E8E}"/>
            </c:ext>
          </c:extLst>
        </c:ser>
        <c:ser>
          <c:idx val="1"/>
          <c:order val="1"/>
          <c:tx>
            <c:v>top</c:v>
          </c:tx>
          <c:spPr>
            <a:solidFill>
              <a:srgbClr val="00304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'item purchased order'!$L$4:$L$18</c:f>
              <c:numCache>
                <c:formatCode>0%</c:formatCode>
                <c:ptCount val="15"/>
                <c:pt idx="0">
                  <c:v>0.125</c:v>
                </c:pt>
                <c:pt idx="1">
                  <c:v>0.10416666666666667</c:v>
                </c:pt>
                <c:pt idx="2">
                  <c:v>8.3333333333333329E-2</c:v>
                </c:pt>
              </c:numCache>
            </c:numRef>
          </c:val>
          <c:extLst>
            <c:ext xmlns:c16="http://schemas.microsoft.com/office/drawing/2014/chart" uri="{C3380CC4-5D6E-409C-BE32-E72D297353CC}">
              <c16:uniqueId val="{00000001-6890-4A67-A5D9-FD7F97629E8E}"/>
            </c:ext>
          </c:extLst>
        </c:ser>
        <c:dLbls>
          <c:showLegendKey val="0"/>
          <c:showVal val="0"/>
          <c:showCatName val="0"/>
          <c:showSerName val="0"/>
          <c:showPercent val="0"/>
          <c:showBubbleSize val="0"/>
        </c:dLbls>
        <c:gapWidth val="21"/>
        <c:overlap val="100"/>
        <c:axId val="25671471"/>
        <c:axId val="1922238575"/>
      </c:barChart>
      <c:catAx>
        <c:axId val="25671471"/>
        <c:scaling>
          <c:orientation val="maxMin"/>
        </c:scaling>
        <c:delete val="1"/>
        <c:axPos val="l"/>
        <c:numFmt formatCode="General" sourceLinked="1"/>
        <c:majorTickMark val="none"/>
        <c:minorTickMark val="none"/>
        <c:tickLblPos val="nextTo"/>
        <c:crossAx val="1922238575"/>
        <c:crosses val="autoZero"/>
        <c:auto val="1"/>
        <c:lblAlgn val="ctr"/>
        <c:lblOffset val="100"/>
        <c:noMultiLvlLbl val="0"/>
      </c:catAx>
      <c:valAx>
        <c:axId val="1922238575"/>
        <c:scaling>
          <c:orientation val="minMax"/>
        </c:scaling>
        <c:delete val="1"/>
        <c:axPos val="t"/>
        <c:numFmt formatCode="0%" sourceLinked="1"/>
        <c:majorTickMark val="none"/>
        <c:minorTickMark val="none"/>
        <c:tickLblPos val="nextTo"/>
        <c:crossAx val="2567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169894669951042E-2"/>
          <c:w val="1"/>
          <c:h val="0.96830105330048977"/>
        </c:manualLayout>
      </c:layout>
      <c:bubbleChart>
        <c:varyColors val="1"/>
        <c:ser>
          <c:idx val="0"/>
          <c:order val="0"/>
          <c:tx>
            <c:strRef>
              <c:f>'category wise saved'!$F$3</c:f>
              <c:strCache>
                <c:ptCount val="1"/>
                <c:pt idx="0">
                  <c:v> category wise saved </c:v>
                </c:pt>
              </c:strCache>
            </c:strRef>
          </c:tx>
          <c:spPr>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invertIfNegative val="0"/>
          <c:dPt>
            <c:idx val="0"/>
            <c:invertIfNegative val="0"/>
            <c:bubble3D val="1"/>
            <c:spPr>
              <a:solidFill>
                <a:schemeClr val="accent1"/>
              </a:solidFill>
              <a:ln>
                <a:noFill/>
              </a:ln>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extLst>
              <c:ext xmlns:c16="http://schemas.microsoft.com/office/drawing/2014/chart" uri="{C3380CC4-5D6E-409C-BE32-E72D297353CC}">
                <c16:uniqueId val="{00000001-C1D8-4F41-8CFB-396E52E44234}"/>
              </c:ext>
            </c:extLst>
          </c:dPt>
          <c:dPt>
            <c:idx val="1"/>
            <c:invertIfNegative val="0"/>
            <c:bubble3D val="1"/>
            <c:spPr>
              <a:solidFill>
                <a:schemeClr val="accent2"/>
              </a:solidFill>
              <a:ln>
                <a:noFill/>
              </a:ln>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extLst>
              <c:ext xmlns:c16="http://schemas.microsoft.com/office/drawing/2014/chart" uri="{C3380CC4-5D6E-409C-BE32-E72D297353CC}">
                <c16:uniqueId val="{00000003-C1D8-4F41-8CFB-396E52E44234}"/>
              </c:ext>
            </c:extLst>
          </c:dPt>
          <c:dPt>
            <c:idx val="2"/>
            <c:invertIfNegative val="0"/>
            <c:bubble3D val="1"/>
            <c:spPr>
              <a:solidFill>
                <a:schemeClr val="accent3"/>
              </a:solidFill>
              <a:ln>
                <a:noFill/>
              </a:ln>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extLst>
              <c:ext xmlns:c16="http://schemas.microsoft.com/office/drawing/2014/chart" uri="{C3380CC4-5D6E-409C-BE32-E72D297353CC}">
                <c16:uniqueId val="{00000005-C1D8-4F41-8CFB-396E52E44234}"/>
              </c:ext>
            </c:extLst>
          </c:dPt>
          <c:dPt>
            <c:idx val="3"/>
            <c:invertIfNegative val="0"/>
            <c:bubble3D val="1"/>
            <c:spPr>
              <a:solidFill>
                <a:schemeClr val="accent4"/>
              </a:solidFill>
              <a:ln>
                <a:noFill/>
              </a:ln>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extLst>
              <c:ext xmlns:c16="http://schemas.microsoft.com/office/drawing/2014/chart" uri="{C3380CC4-5D6E-409C-BE32-E72D297353CC}">
                <c16:uniqueId val="{00000007-C1D8-4F41-8CFB-396E52E44234}"/>
              </c:ext>
            </c:extLst>
          </c:dPt>
          <c:dPt>
            <c:idx val="4"/>
            <c:invertIfNegative val="0"/>
            <c:bubble3D val="1"/>
            <c:spPr>
              <a:solidFill>
                <a:schemeClr val="accent5"/>
              </a:solidFill>
              <a:ln>
                <a:noFill/>
              </a:ln>
              <a:effectLst>
                <a:outerShdw blurRad="50800" dist="50800" dir="5400000" sx="96000" sy="96000" algn="ctr" rotWithShape="0">
                  <a:srgbClr val="000000">
                    <a:alpha val="80000"/>
                  </a:srgbClr>
                </a:outerShdw>
              </a:effectLst>
              <a:scene3d>
                <a:camera prst="orthographicFront"/>
                <a:lightRig rig="threePt" dir="t"/>
              </a:scene3d>
              <a:sp3d>
                <a:bevelT w="139700" h="139700" prst="divot"/>
                <a:bevelB w="139700" h="139700" prst="divot"/>
              </a:sp3d>
            </c:spPr>
            <c:extLst>
              <c:ext xmlns:c16="http://schemas.microsoft.com/office/drawing/2014/chart" uri="{C3380CC4-5D6E-409C-BE32-E72D297353CC}">
                <c16:uniqueId val="{00000009-C1D8-4F41-8CFB-396E52E44234}"/>
              </c:ext>
            </c:extLst>
          </c:dPt>
          <c:dLbls>
            <c:dLbl>
              <c:idx val="0"/>
              <c:layout>
                <c:manualLayout>
                  <c:x val="-0.29321227980597397"/>
                  <c:y val="-0.1735186097504543"/>
                </c:manualLayout>
              </c:layout>
              <c:spPr>
                <a:noFill/>
                <a:ln>
                  <a:noFill/>
                </a:ln>
                <a:effectLst/>
              </c:spPr>
              <c:txPr>
                <a:bodyPr rot="0" spcFirstLastPara="1" vertOverflow="ellipsis" vert="horz" wrap="square" lIns="38100" tIns="19050" rIns="38100" bIns="19050" anchor="ctr" anchorCtr="1">
                  <a:noAutofit/>
                </a:bodyPr>
                <a:lstStyle/>
                <a:p>
                  <a:pPr>
                    <a:defRPr lang="en-US" sz="1200" b="0" i="0" u="none" strike="noStrike" kern="1200" baseline="0">
                      <a:solidFill>
                        <a:schemeClr val="accent1">
                          <a:lumMod val="75000"/>
                        </a:schemeClr>
                      </a:solidFill>
                      <a:latin typeface="Agency FB" panose="020B0503020202020204" pitchFamily="34" charset="0"/>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2660467866116657"/>
                      <c:h val="0.12848271463404223"/>
                    </c:manualLayout>
                  </c15:layout>
                </c:ext>
                <c:ext xmlns:c16="http://schemas.microsoft.com/office/drawing/2014/chart" uri="{C3380CC4-5D6E-409C-BE32-E72D297353CC}">
                  <c16:uniqueId val="{00000001-C1D8-4F41-8CFB-396E52E44234}"/>
                </c:ext>
              </c:extLst>
            </c:dLbl>
            <c:dLbl>
              <c:idx val="1"/>
              <c:layout>
                <c:manualLayout>
                  <c:x val="7.9529258481671472E-3"/>
                  <c:y val="-8.6226712019440849E-3"/>
                </c:manualLayout>
              </c:layout>
              <c:tx>
                <c:rich>
                  <a:bodyPr rot="0" spcFirstLastPara="1" vertOverflow="ellipsis" vert="horz" wrap="square" lIns="38100" tIns="19050" rIns="38100" bIns="19050" anchor="ctr" anchorCtr="1">
                    <a:noAutofit/>
                  </a:bodyPr>
                  <a:lstStyle/>
                  <a:p>
                    <a:pPr>
                      <a:defRPr lang="en-US" sz="1200" b="0" i="0" u="none" strike="noStrike" kern="1200" baseline="0">
                        <a:solidFill>
                          <a:schemeClr val="accent2"/>
                        </a:solidFill>
                        <a:latin typeface="Agency FB" panose="020B0503020202020204" pitchFamily="34" charset="0"/>
                        <a:ea typeface="+mn-ea"/>
                        <a:cs typeface="+mn-cs"/>
                      </a:defRPr>
                    </a:pPr>
                    <a:fld id="{AB0D85CB-B502-4AF0-9088-FB5792D0F51D}" type="XVALUE">
                      <a:rPr lang="en-US" sz="1200">
                        <a:solidFill>
                          <a:schemeClr val="accent2"/>
                        </a:solidFill>
                      </a:rPr>
                      <a:pPr>
                        <a:defRPr sz="1200">
                          <a:solidFill>
                            <a:schemeClr val="accent2"/>
                          </a:solidFill>
                        </a:defRPr>
                      </a:pPr>
                      <a:t>[X VALUE]</a:t>
                    </a:fld>
                    <a:endParaRPr lang="en-US" sz="1200" baseline="0">
                      <a:solidFill>
                        <a:schemeClr val="accent2"/>
                      </a:solidFill>
                    </a:endParaRPr>
                  </a:p>
                  <a:p>
                    <a:pPr>
                      <a:defRPr sz="1200">
                        <a:solidFill>
                          <a:schemeClr val="accent2"/>
                        </a:solidFill>
                      </a:defRPr>
                    </a:pPr>
                    <a:fld id="{16A8FF07-0936-4D7D-B32B-7509585CAE32}" type="YVALUE">
                      <a:rPr lang="en-US" sz="1200">
                        <a:solidFill>
                          <a:schemeClr val="accent2"/>
                        </a:solidFill>
                      </a:rPr>
                      <a:pPr>
                        <a:defRPr sz="1200">
                          <a:solidFill>
                            <a:schemeClr val="accent2"/>
                          </a:solidFill>
                        </a:defRPr>
                      </a:pPr>
                      <a:t>[Y VALUE]</a:t>
                    </a:fld>
                    <a:endParaRPr lang="en-IN"/>
                  </a:p>
                </c:rich>
              </c:tx>
              <c:spPr>
                <a:noFill/>
                <a:ln>
                  <a:noFill/>
                </a:ln>
                <a:effectLst/>
              </c:spPr>
              <c:txPr>
                <a:bodyPr rot="0" spcFirstLastPara="1" vertOverflow="ellipsis" vert="horz" wrap="square" lIns="38100" tIns="19050" rIns="38100" bIns="19050" anchor="ctr" anchorCtr="1">
                  <a:noAutofit/>
                </a:bodyPr>
                <a:lstStyle/>
                <a:p>
                  <a:pPr>
                    <a:defRPr lang="en-US" sz="1200" b="0" i="0" u="none" strike="noStrike" kern="1200" baseline="0">
                      <a:solidFill>
                        <a:schemeClr val="accent2"/>
                      </a:solidFill>
                      <a:latin typeface="Agency FB" panose="020B0503020202020204" pitchFamily="34" charset="0"/>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33054566464668172"/>
                      <c:h val="0.12155153711336006"/>
                    </c:manualLayout>
                  </c15:layout>
                  <c15:dlblFieldTable/>
                  <c15:showDataLabelsRange val="0"/>
                </c:ext>
                <c:ext xmlns:c16="http://schemas.microsoft.com/office/drawing/2014/chart" uri="{C3380CC4-5D6E-409C-BE32-E72D297353CC}">
                  <c16:uniqueId val="{00000003-C1D8-4F41-8CFB-396E52E44234}"/>
                </c:ext>
              </c:extLst>
            </c:dLbl>
            <c:dLbl>
              <c:idx val="2"/>
              <c:layout>
                <c:manualLayout>
                  <c:x val="-0.39905607137578436"/>
                  <c:y val="-6.6161163252017132E-4"/>
                </c:manualLayout>
              </c:layout>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bg1">
                          <a:lumMod val="50000"/>
                        </a:schemeClr>
                      </a:solidFill>
                      <a:latin typeface="Agency FB" panose="020B0503020202020204" pitchFamily="34" charset="0"/>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C1D8-4F41-8CFB-396E52E44234}"/>
                </c:ext>
              </c:extLst>
            </c:dLbl>
            <c:dLbl>
              <c:idx val="3"/>
              <c:layout>
                <c:manualLayout>
                  <c:x val="-0.28384807116079708"/>
                  <c:y val="0.14361167374388867"/>
                </c:manualLayout>
              </c:layout>
              <c:spPr>
                <a:noFill/>
                <a:ln>
                  <a:noFill/>
                </a:ln>
                <a:effectLst/>
              </c:spPr>
              <c:txPr>
                <a:bodyPr rot="0" spcFirstLastPara="1" vertOverflow="ellipsis" vert="horz" wrap="square" lIns="38100" tIns="19050" rIns="38100" bIns="19050" anchor="ctr" anchorCtr="1">
                  <a:noAutofit/>
                </a:bodyPr>
                <a:lstStyle/>
                <a:p>
                  <a:pPr>
                    <a:defRPr lang="en-US" sz="1200" b="0" i="0" u="none" strike="noStrike" kern="1200" baseline="0">
                      <a:solidFill>
                        <a:schemeClr val="accent4">
                          <a:lumMod val="60000"/>
                          <a:lumOff val="40000"/>
                        </a:schemeClr>
                      </a:solidFill>
                      <a:latin typeface="Agency FB" panose="020B0503020202020204" pitchFamily="34" charset="0"/>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3799437002002069"/>
                      <c:h val="0.13515747254705918"/>
                    </c:manualLayout>
                  </c15:layout>
                </c:ext>
                <c:ext xmlns:c16="http://schemas.microsoft.com/office/drawing/2014/chart" uri="{C3380CC4-5D6E-409C-BE32-E72D297353CC}">
                  <c16:uniqueId val="{00000007-C1D8-4F41-8CFB-396E52E44234}"/>
                </c:ext>
              </c:extLst>
            </c:dLbl>
            <c:dLbl>
              <c:idx val="4"/>
              <c:layout>
                <c:manualLayout>
                  <c:x val="-0.10759241094822845"/>
                  <c:y val="-0.18787769188748382"/>
                </c:manualLayout>
              </c:layout>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1">
                          <a:lumMod val="60000"/>
                          <a:lumOff val="40000"/>
                        </a:schemeClr>
                      </a:solidFill>
                      <a:latin typeface="Agency FB" panose="020B0503020202020204" pitchFamily="34" charset="0"/>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C1D8-4F41-8CFB-396E52E44234}"/>
                </c:ext>
              </c:extLst>
            </c:dLbl>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1">
                        <a:lumMod val="75000"/>
                      </a:schemeClr>
                    </a:solidFill>
                    <a:latin typeface="Agency FB" panose="020B0503020202020204" pitchFamily="34" charset="0"/>
                    <a:ea typeface="+mn-ea"/>
                    <a:cs typeface="+mn-cs"/>
                  </a:defRPr>
                </a:pPr>
                <a:endParaRPr lang="en-US"/>
              </a:p>
            </c:txPr>
            <c:dLblPos val="t"/>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95000"/>
                          <a:lumOff val="5000"/>
                        </a:schemeClr>
                      </a:solidFill>
                      <a:round/>
                    </a:ln>
                    <a:effectLst/>
                  </c:spPr>
                </c15:leaderLines>
              </c:ext>
            </c:extLst>
          </c:dLbls>
          <c:xVal>
            <c:strRef>
              <c:f>'category wise saved'!$E$4:$E$8</c:f>
              <c:strCache>
                <c:ptCount val="5"/>
                <c:pt idx="0">
                  <c:v>Furniture</c:v>
                </c:pt>
                <c:pt idx="1">
                  <c:v>IT Hardware</c:v>
                </c:pt>
                <c:pt idx="2">
                  <c:v>MRO</c:v>
                </c:pt>
                <c:pt idx="3">
                  <c:v>Office Equipments</c:v>
                </c:pt>
                <c:pt idx="4">
                  <c:v>Stationery</c:v>
                </c:pt>
              </c:strCache>
            </c:strRef>
          </c:xVal>
          <c:yVal>
            <c:numRef>
              <c:f>'category wise saved'!$F$4:$F$8</c:f>
              <c:numCache>
                <c:formatCode>General</c:formatCode>
                <c:ptCount val="5"/>
                <c:pt idx="0">
                  <c:v>137500</c:v>
                </c:pt>
                <c:pt idx="1">
                  <c:v>185000</c:v>
                </c:pt>
                <c:pt idx="2">
                  <c:v>40464</c:v>
                </c:pt>
                <c:pt idx="3">
                  <c:v>26268</c:v>
                </c:pt>
                <c:pt idx="4">
                  <c:v>36106</c:v>
                </c:pt>
              </c:numCache>
            </c:numRef>
          </c:yVal>
          <c:bubbleSize>
            <c:numLit>
              <c:formatCode>General</c:formatCode>
              <c:ptCount val="5"/>
              <c:pt idx="0">
                <c:v>1</c:v>
              </c:pt>
              <c:pt idx="1">
                <c:v>1</c:v>
              </c:pt>
              <c:pt idx="2">
                <c:v>1</c:v>
              </c:pt>
              <c:pt idx="3">
                <c:v>1</c:v>
              </c:pt>
              <c:pt idx="4">
                <c:v>1</c:v>
              </c:pt>
            </c:numLit>
          </c:bubbleSize>
          <c:bubble3D val="1"/>
          <c:extLst>
            <c:ext xmlns:c16="http://schemas.microsoft.com/office/drawing/2014/chart" uri="{C3380CC4-5D6E-409C-BE32-E72D297353CC}">
              <c16:uniqueId val="{0000000A-C1D8-4F41-8CFB-396E52E44234}"/>
            </c:ext>
          </c:extLst>
        </c:ser>
        <c:dLbls>
          <c:dLblPos val="t"/>
          <c:showLegendKey val="0"/>
          <c:showVal val="1"/>
          <c:showCatName val="0"/>
          <c:showSerName val="0"/>
          <c:showPercent val="0"/>
          <c:showBubbleSize val="0"/>
        </c:dLbls>
        <c:bubbleScale val="90"/>
        <c:showNegBubbles val="0"/>
        <c:axId val="115404207"/>
        <c:axId val="1925588111"/>
      </c:bubbleChart>
      <c:valAx>
        <c:axId val="11540420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25588111"/>
        <c:crosses val="autoZero"/>
        <c:crossBetween val="midCat"/>
      </c:valAx>
      <c:valAx>
        <c:axId val="192558811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54042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rtl="0">
        <a:defRPr lang="en-US" sz="1400" b="0" i="0" u="none" strike="noStrike" kern="1200" baseline="0">
          <a:solidFill>
            <a:sysClr val="windowText" lastClr="000000">
              <a:lumMod val="65000"/>
              <a:lumOff val="35000"/>
            </a:sysClr>
          </a:solidFill>
          <a:latin typeface="Agency FB" panose="020B0503020202020204" pitchFamily="34" charset="0"/>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'indentor po'!$F$3</c:f>
              <c:strCache>
                <c:ptCount val="1"/>
                <c:pt idx="0">
                  <c:v> Indentor PO   </c:v>
                </c:pt>
              </c:strCache>
            </c:strRef>
          </c:tx>
          <c:dPt>
            <c:idx val="0"/>
            <c:bubble3D val="0"/>
            <c:spPr>
              <a:solidFill>
                <a:srgbClr val="003049"/>
              </a:solidFill>
              <a:ln w="19050">
                <a:solidFill>
                  <a:schemeClr val="lt1"/>
                </a:solidFill>
              </a:ln>
              <a:effectLst/>
            </c:spPr>
            <c:extLst>
              <c:ext xmlns:c16="http://schemas.microsoft.com/office/drawing/2014/chart" uri="{C3380CC4-5D6E-409C-BE32-E72D297353CC}">
                <c16:uniqueId val="{00000001-167E-48EE-B566-D4FCFEC265AF}"/>
              </c:ext>
            </c:extLst>
          </c:dPt>
          <c:dPt>
            <c:idx val="1"/>
            <c:bubble3D val="0"/>
            <c:spPr>
              <a:solidFill>
                <a:srgbClr val="C1121F"/>
              </a:solidFill>
              <a:ln w="19050">
                <a:solidFill>
                  <a:schemeClr val="lt1"/>
                </a:solidFill>
              </a:ln>
              <a:effectLst/>
            </c:spPr>
            <c:extLst>
              <c:ext xmlns:c16="http://schemas.microsoft.com/office/drawing/2014/chart" uri="{C3380CC4-5D6E-409C-BE32-E72D297353CC}">
                <c16:uniqueId val="{00000003-167E-48EE-B566-D4FCFEC265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7E-48EE-B566-D4FCFEC265AF}"/>
              </c:ext>
            </c:extLst>
          </c:dPt>
          <c:cat>
            <c:strRef>
              <c:f>'indentor po'!$E$4:$E$6</c:f>
              <c:strCache>
                <c:ptCount val="3"/>
                <c:pt idx="0">
                  <c:v>Indentor A</c:v>
                </c:pt>
                <c:pt idx="1">
                  <c:v>Indentor B</c:v>
                </c:pt>
                <c:pt idx="2">
                  <c:v>Indentor C</c:v>
                </c:pt>
              </c:strCache>
            </c:strRef>
          </c:cat>
          <c:val>
            <c:numRef>
              <c:f>'indentor po'!$F$4:$F$6</c:f>
              <c:numCache>
                <c:formatCode>_("₹"* #,##0_);_("₹"* \(#,##0\);_("₹"* "-"_);_(@_)</c:formatCode>
                <c:ptCount val="3"/>
                <c:pt idx="0">
                  <c:v>2404754</c:v>
                </c:pt>
                <c:pt idx="1">
                  <c:v>2463800</c:v>
                </c:pt>
                <c:pt idx="2">
                  <c:v>1679144</c:v>
                </c:pt>
              </c:numCache>
            </c:numRef>
          </c:val>
          <c:extLst>
            <c:ext xmlns:c16="http://schemas.microsoft.com/office/drawing/2014/chart" uri="{C3380CC4-5D6E-409C-BE32-E72D297353CC}">
              <c16:uniqueId val="{00000006-167E-48EE-B566-D4FCFEC265AF}"/>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'Month trend'!$H$4</c:f>
              <c:strCache>
                <c:ptCount val="1"/>
                <c:pt idx="0">
                  <c:v>Sum of Savings</c:v>
                </c:pt>
              </c:strCache>
            </c:strRef>
          </c:tx>
          <c:spPr>
            <a:solidFill>
              <a:schemeClr val="bg1">
                <a:lumMod val="85000"/>
              </a:schemeClr>
            </a:solidFill>
            <a:ln>
              <a:noFill/>
            </a:ln>
            <a:effectLst/>
          </c:spPr>
          <c:val>
            <c:numRef>
              <c:f>'Month trend'!$H$5:$H$15</c:f>
              <c:numCache>
                <c:formatCode>_("₹"* #,##0_);_("₹"* \(#,##0\);_("₹"* "-"_);_(@_)</c:formatCode>
                <c:ptCount val="11"/>
                <c:pt idx="0">
                  <c:v>30600</c:v>
                </c:pt>
                <c:pt idx="1">
                  <c:v>2250</c:v>
                </c:pt>
                <c:pt idx="2">
                  <c:v>41400</c:v>
                </c:pt>
                <c:pt idx="3">
                  <c:v>73244</c:v>
                </c:pt>
                <c:pt idx="4">
                  <c:v>12100</c:v>
                </c:pt>
                <c:pt idx="5">
                  <c:v>56468</c:v>
                </c:pt>
                <c:pt idx="6">
                  <c:v>46008</c:v>
                </c:pt>
                <c:pt idx="7">
                  <c:v>80250</c:v>
                </c:pt>
                <c:pt idx="8">
                  <c:v>8270</c:v>
                </c:pt>
                <c:pt idx="9">
                  <c:v>29750</c:v>
                </c:pt>
                <c:pt idx="10">
                  <c:v>39490</c:v>
                </c:pt>
              </c:numCache>
            </c:numRef>
          </c:val>
          <c:extLst>
            <c:ext xmlns:c16="http://schemas.microsoft.com/office/drawing/2014/chart" uri="{C3380CC4-5D6E-409C-BE32-E72D297353CC}">
              <c16:uniqueId val="{00000002-2C92-4656-B810-216C5352C378}"/>
            </c:ext>
          </c:extLst>
        </c:ser>
        <c:dLbls>
          <c:showLegendKey val="0"/>
          <c:showVal val="0"/>
          <c:showCatName val="0"/>
          <c:showSerName val="0"/>
          <c:showPercent val="0"/>
          <c:showBubbleSize val="0"/>
        </c:dLbls>
        <c:axId val="371553760"/>
        <c:axId val="270122176"/>
      </c:areaChart>
      <c:lineChart>
        <c:grouping val="stacked"/>
        <c:varyColors val="0"/>
        <c:ser>
          <c:idx val="0"/>
          <c:order val="0"/>
          <c:tx>
            <c:strRef>
              <c:f>'Month trend'!$G$4</c:f>
              <c:strCache>
                <c:ptCount val="1"/>
                <c:pt idx="0">
                  <c:v>Sum of Savings</c:v>
                </c:pt>
              </c:strCache>
            </c:strRef>
          </c:tx>
          <c:spPr>
            <a:ln w="69850" cap="rnd">
              <a:solidFill>
                <a:schemeClr val="accent1"/>
              </a:solidFill>
              <a:round/>
              <a:headEnd type="oval"/>
              <a:tailEnd type="oval"/>
            </a:ln>
            <a:effectLst/>
          </c:spPr>
          <c:marker>
            <c:symbol val="none"/>
          </c:marker>
          <c:cat>
            <c:strRef>
              <c:f>'Month trend'!$F$5:$F$15</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'Month trend'!$G$5:$G$15</c:f>
              <c:numCache>
                <c:formatCode>_("₹"* #,##0_);_("₹"* \(#,##0\);_("₹"* "-"_);_(@_)</c:formatCode>
                <c:ptCount val="11"/>
                <c:pt idx="0">
                  <c:v>30600</c:v>
                </c:pt>
                <c:pt idx="1">
                  <c:v>2250</c:v>
                </c:pt>
                <c:pt idx="2">
                  <c:v>41400</c:v>
                </c:pt>
                <c:pt idx="3">
                  <c:v>73244</c:v>
                </c:pt>
                <c:pt idx="4">
                  <c:v>12100</c:v>
                </c:pt>
                <c:pt idx="5">
                  <c:v>56468</c:v>
                </c:pt>
                <c:pt idx="6">
                  <c:v>46008</c:v>
                </c:pt>
                <c:pt idx="7">
                  <c:v>80250</c:v>
                </c:pt>
                <c:pt idx="8">
                  <c:v>8270</c:v>
                </c:pt>
                <c:pt idx="9">
                  <c:v>29750</c:v>
                </c:pt>
                <c:pt idx="10">
                  <c:v>39490</c:v>
                </c:pt>
              </c:numCache>
            </c:numRef>
          </c:val>
          <c:smooth val="1"/>
          <c:extLst>
            <c:ext xmlns:c16="http://schemas.microsoft.com/office/drawing/2014/chart" uri="{C3380CC4-5D6E-409C-BE32-E72D297353CC}">
              <c16:uniqueId val="{00000000-2C92-4656-B810-216C5352C378}"/>
            </c:ext>
          </c:extLst>
        </c:ser>
        <c:dLbls>
          <c:showLegendKey val="0"/>
          <c:showVal val="0"/>
          <c:showCatName val="0"/>
          <c:showSerName val="0"/>
          <c:showPercent val="0"/>
          <c:showBubbleSize val="0"/>
        </c:dLbls>
        <c:marker val="1"/>
        <c:smooth val="0"/>
        <c:axId val="371553760"/>
        <c:axId val="270122176"/>
      </c:lineChart>
      <c:catAx>
        <c:axId val="37155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122176"/>
        <c:crosses val="autoZero"/>
        <c:auto val="1"/>
        <c:lblAlgn val="ctr"/>
        <c:lblOffset val="100"/>
        <c:noMultiLvlLbl val="0"/>
      </c:catAx>
      <c:valAx>
        <c:axId val="270122176"/>
        <c:scaling>
          <c:orientation val="minMax"/>
        </c:scaling>
        <c:delete val="1"/>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crossAx val="37155376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Year!$F$4</c:f>
              <c:strCache>
                <c:ptCount val="1"/>
                <c:pt idx="0">
                  <c:v>2022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C7-4D99-9FA6-ADE828D762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C7-4D99-9FA6-ADE828D762BB}"/>
              </c:ext>
            </c:extLst>
          </c:dPt>
          <c:cat>
            <c:strRef>
              <c:f>Year!$G$3:$H$3</c:f>
              <c:strCache>
                <c:ptCount val="2"/>
                <c:pt idx="0">
                  <c:v>PURCHASED</c:v>
                </c:pt>
                <c:pt idx="1">
                  <c:v>Black Area</c:v>
                </c:pt>
              </c:strCache>
            </c:strRef>
          </c:cat>
          <c:val>
            <c:numRef>
              <c:f>Year!$G$4:$H$4</c:f>
              <c:numCache>
                <c:formatCode>0.0%</c:formatCode>
                <c:ptCount val="2"/>
                <c:pt idx="0">
                  <c:v>0.82543294979522164</c:v>
                </c:pt>
                <c:pt idx="1">
                  <c:v>0.17456705020477836</c:v>
                </c:pt>
              </c:numCache>
            </c:numRef>
          </c:val>
          <c:extLst>
            <c:ext xmlns:c16="http://schemas.microsoft.com/office/drawing/2014/chart" uri="{C3380CC4-5D6E-409C-BE32-E72D297353CC}">
              <c16:uniqueId val="{00000000-A2CA-419A-BA88-F10F0128787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Qrt!$I$13</c:f>
              <c:strCache>
                <c:ptCount val="1"/>
                <c:pt idx="0">
                  <c:v>Qtr1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72-4FC2-A813-ABBF6E464B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72-4FC2-A813-ABBF6E464BBA}"/>
              </c:ext>
            </c:extLst>
          </c:dPt>
          <c:cat>
            <c:strRef>
              <c:f>Qrt!$J$12:$K$12</c:f>
              <c:strCache>
                <c:ptCount val="2"/>
                <c:pt idx="0">
                  <c:v>%Purchased</c:v>
                </c:pt>
                <c:pt idx="1">
                  <c:v>Blank Area</c:v>
                </c:pt>
              </c:strCache>
            </c:strRef>
          </c:cat>
          <c:val>
            <c:numRef>
              <c:f>Qrt!$J$13:$K$13</c:f>
              <c:numCache>
                <c:formatCode>0.00%</c:formatCode>
                <c:ptCount val="2"/>
                <c:pt idx="0">
                  <c:v>0.17456705020477831</c:v>
                </c:pt>
                <c:pt idx="1">
                  <c:v>0.82543294979522175</c:v>
                </c:pt>
              </c:numCache>
            </c:numRef>
          </c:val>
          <c:extLst>
            <c:ext xmlns:c16="http://schemas.microsoft.com/office/drawing/2014/chart" uri="{C3380CC4-5D6E-409C-BE32-E72D297353CC}">
              <c16:uniqueId val="{00000000-C8FC-4B5B-BD47-9C24299AE7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'item purchased order'!$K$3</c:f>
              <c:strCache>
                <c:ptCount val="1"/>
                <c:pt idx="0">
                  <c:v> item pruchase order </c:v>
                </c:pt>
              </c:strCache>
            </c:strRef>
          </c:tx>
          <c:spPr>
            <a:solidFill>
              <a:schemeClr val="accent1"/>
            </a:solidFill>
            <a:ln>
              <a:noFill/>
            </a:ln>
            <a:effectLst/>
          </c:spPr>
          <c:invertIfNegative val="0"/>
          <c:cat>
            <c:strRef>
              <c:f>'item purchased order'!$J$4:$J$18</c:f>
              <c:strCache>
                <c:ptCount val="15"/>
                <c:pt idx="0">
                  <c:v>Memory Card</c:v>
                </c:pt>
                <c:pt idx="1">
                  <c:v>Ceiling Fan</c:v>
                </c:pt>
                <c:pt idx="2">
                  <c:v>Laptop</c:v>
                </c:pt>
                <c:pt idx="3">
                  <c:v>Geyser</c:v>
                </c:pt>
                <c:pt idx="4">
                  <c:v>Water Bottle</c:v>
                </c:pt>
                <c:pt idx="5">
                  <c:v>JK Paper</c:v>
                </c:pt>
                <c:pt idx="6">
                  <c:v>LED Light</c:v>
                </c:pt>
                <c:pt idx="7">
                  <c:v>Table </c:v>
                </c:pt>
                <c:pt idx="8">
                  <c:v>Exhaust Fan</c:v>
                </c:pt>
                <c:pt idx="9">
                  <c:v>Tablet Device</c:v>
                </c:pt>
                <c:pt idx="10">
                  <c:v>Note Pad</c:v>
                </c:pt>
                <c:pt idx="11">
                  <c:v>Chair</c:v>
                </c:pt>
                <c:pt idx="12">
                  <c:v>Vending Machine</c:v>
                </c:pt>
                <c:pt idx="13">
                  <c:v>Cloth Dryer stand</c:v>
                </c:pt>
                <c:pt idx="14">
                  <c:v>Pierre Cardin Set</c:v>
                </c:pt>
              </c:strCache>
            </c:strRef>
          </c:cat>
          <c:val>
            <c:numRef>
              <c:f>'item purchased order'!$K$4:$K$18</c:f>
              <c:numCache>
                <c:formatCode>0%</c:formatCode>
                <c:ptCount val="15"/>
                <c:pt idx="0">
                  <c:v>0.125</c:v>
                </c:pt>
                <c:pt idx="1">
                  <c:v>0.10416666666666667</c:v>
                </c:pt>
                <c:pt idx="2">
                  <c:v>8.3333333333333329E-2</c:v>
                </c:pt>
                <c:pt idx="3">
                  <c:v>8.3333333333333329E-2</c:v>
                </c:pt>
                <c:pt idx="4">
                  <c:v>8.3333333333333329E-2</c:v>
                </c:pt>
                <c:pt idx="5">
                  <c:v>8.3333333333333329E-2</c:v>
                </c:pt>
                <c:pt idx="6">
                  <c:v>8.3333333333333329E-2</c:v>
                </c:pt>
                <c:pt idx="7">
                  <c:v>6.25E-2</c:v>
                </c:pt>
                <c:pt idx="8">
                  <c:v>6.25E-2</c:v>
                </c:pt>
                <c:pt idx="9">
                  <c:v>6.25E-2</c:v>
                </c:pt>
                <c:pt idx="10">
                  <c:v>6.25E-2</c:v>
                </c:pt>
                <c:pt idx="11">
                  <c:v>4.1666666666666664E-2</c:v>
                </c:pt>
                <c:pt idx="12">
                  <c:v>2.0833333333333332E-2</c:v>
                </c:pt>
                <c:pt idx="13">
                  <c:v>2.0833333333333332E-2</c:v>
                </c:pt>
                <c:pt idx="14">
                  <c:v>2.0833333333333332E-2</c:v>
                </c:pt>
              </c:numCache>
            </c:numRef>
          </c:val>
          <c:extLst>
            <c:ext xmlns:c16="http://schemas.microsoft.com/office/drawing/2014/chart" uri="{C3380CC4-5D6E-409C-BE32-E72D297353CC}">
              <c16:uniqueId val="{00000000-DE3F-49C3-9823-9F145BCE8BC6}"/>
            </c:ext>
          </c:extLst>
        </c:ser>
        <c:ser>
          <c:idx val="1"/>
          <c:order val="1"/>
          <c:tx>
            <c:v>top</c:v>
          </c:tx>
          <c:spPr>
            <a:solidFill>
              <a:schemeClr val="accent2"/>
            </a:solidFill>
            <a:ln>
              <a:noFill/>
            </a:ln>
            <a:effectLst/>
          </c:spPr>
          <c:invertIfNegative val="0"/>
          <c:val>
            <c:numRef>
              <c:f>'item purchased order'!$L$4:$L$18</c:f>
              <c:numCache>
                <c:formatCode>0%</c:formatCode>
                <c:ptCount val="15"/>
                <c:pt idx="0">
                  <c:v>0.125</c:v>
                </c:pt>
                <c:pt idx="1">
                  <c:v>0.10416666666666667</c:v>
                </c:pt>
                <c:pt idx="2">
                  <c:v>8.3333333333333329E-2</c:v>
                </c:pt>
              </c:numCache>
            </c:numRef>
          </c:val>
          <c:extLst>
            <c:ext xmlns:c16="http://schemas.microsoft.com/office/drawing/2014/chart" uri="{C3380CC4-5D6E-409C-BE32-E72D297353CC}">
              <c16:uniqueId val="{00000001-DE3F-49C3-9823-9F145BCE8BC6}"/>
            </c:ext>
          </c:extLst>
        </c:ser>
        <c:dLbls>
          <c:showLegendKey val="0"/>
          <c:showVal val="0"/>
          <c:showCatName val="0"/>
          <c:showSerName val="0"/>
          <c:showPercent val="0"/>
          <c:showBubbleSize val="0"/>
        </c:dLbls>
        <c:gapWidth val="182"/>
        <c:axId val="25671471"/>
        <c:axId val="1922238575"/>
      </c:barChart>
      <c:catAx>
        <c:axId val="256714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238575"/>
        <c:crosses val="autoZero"/>
        <c:auto val="1"/>
        <c:lblAlgn val="ctr"/>
        <c:lblOffset val="100"/>
        <c:noMultiLvlLbl val="0"/>
      </c:catAx>
      <c:valAx>
        <c:axId val="1922238575"/>
        <c:scaling>
          <c:orientation val="minMax"/>
        </c:scaling>
        <c:delete val="1"/>
        <c:axPos val="t"/>
        <c:numFmt formatCode="0%" sourceLinked="1"/>
        <c:majorTickMark val="none"/>
        <c:minorTickMark val="none"/>
        <c:tickLblPos val="nextTo"/>
        <c:crossAx val="2567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'category wise saved'!$F$3</c:f>
              <c:strCache>
                <c:ptCount val="1"/>
                <c:pt idx="0">
                  <c:v> category wise saved </c:v>
                </c:pt>
              </c:strCache>
            </c:strRef>
          </c:tx>
          <c:spPr>
            <a:ln w="25400">
              <a:noFill/>
            </a:ln>
          </c:spPr>
          <c:marker>
            <c:symbol val="circle"/>
            <c:size val="5"/>
            <c:spPr>
              <a:ln w="476250"/>
              <a:scene3d>
                <a:camera prst="orthographicFront"/>
                <a:lightRig rig="threePt" dir="t"/>
              </a:scene3d>
              <a:sp3d/>
            </c:spPr>
          </c:marker>
          <c:dPt>
            <c:idx val="0"/>
            <c:marker>
              <c:symbol val="circle"/>
              <c:size val="5"/>
              <c:spPr>
                <a:solidFill>
                  <a:schemeClr val="accent1"/>
                </a:solidFill>
                <a:ln w="476250">
                  <a:solidFill>
                    <a:schemeClr val="accent1"/>
                  </a:solidFill>
                </a:ln>
                <a:effectLst/>
                <a:scene3d>
                  <a:camera prst="orthographicFront"/>
                  <a:lightRig rig="threePt" dir="t"/>
                </a:scene3d>
                <a:sp3d/>
              </c:spPr>
            </c:marker>
            <c:bubble3D val="0"/>
            <c:spPr>
              <a:ln w="25400" cap="rnd">
                <a:noFill/>
                <a:round/>
              </a:ln>
              <a:effectLst/>
            </c:spPr>
            <c:extLst>
              <c:ext xmlns:c16="http://schemas.microsoft.com/office/drawing/2014/chart" uri="{C3380CC4-5D6E-409C-BE32-E72D297353CC}">
                <c16:uniqueId val="{00000005-0CDA-4C4F-A83E-00F9B68D79BF}"/>
              </c:ext>
            </c:extLst>
          </c:dPt>
          <c:dPt>
            <c:idx val="1"/>
            <c:marker>
              <c:symbol val="circle"/>
              <c:size val="5"/>
              <c:spPr>
                <a:solidFill>
                  <a:schemeClr val="accent2"/>
                </a:solidFill>
                <a:ln w="476250">
                  <a:solidFill>
                    <a:schemeClr val="accent2"/>
                  </a:solidFill>
                </a:ln>
                <a:effectLst/>
                <a:scene3d>
                  <a:camera prst="orthographicFront"/>
                  <a:lightRig rig="threePt" dir="t"/>
                </a:scene3d>
                <a:sp3d/>
              </c:spPr>
            </c:marker>
            <c:bubble3D val="0"/>
            <c:spPr>
              <a:ln w="25400" cap="rnd">
                <a:noFill/>
                <a:round/>
              </a:ln>
              <a:effectLst/>
            </c:spPr>
            <c:extLst>
              <c:ext xmlns:c16="http://schemas.microsoft.com/office/drawing/2014/chart" uri="{C3380CC4-5D6E-409C-BE32-E72D297353CC}">
                <c16:uniqueId val="{00000004-0CDA-4C4F-A83E-00F9B68D79BF}"/>
              </c:ext>
            </c:extLst>
          </c:dPt>
          <c:dPt>
            <c:idx val="2"/>
            <c:marker>
              <c:symbol val="circle"/>
              <c:size val="5"/>
              <c:spPr>
                <a:solidFill>
                  <a:schemeClr val="accent3"/>
                </a:solidFill>
                <a:ln w="476250">
                  <a:solidFill>
                    <a:schemeClr val="accent3"/>
                  </a:solidFill>
                </a:ln>
                <a:effectLst/>
                <a:scene3d>
                  <a:camera prst="orthographicFront"/>
                  <a:lightRig rig="threePt" dir="t"/>
                </a:scene3d>
                <a:sp3d/>
              </c:spPr>
            </c:marker>
            <c:bubble3D val="0"/>
            <c:spPr>
              <a:ln w="25400" cap="rnd">
                <a:noFill/>
                <a:round/>
              </a:ln>
              <a:effectLst/>
            </c:spPr>
            <c:extLst>
              <c:ext xmlns:c16="http://schemas.microsoft.com/office/drawing/2014/chart" uri="{C3380CC4-5D6E-409C-BE32-E72D297353CC}">
                <c16:uniqueId val="{00000003-0CDA-4C4F-A83E-00F9B68D79BF}"/>
              </c:ext>
            </c:extLst>
          </c:dPt>
          <c:dPt>
            <c:idx val="3"/>
            <c:marker>
              <c:symbol val="circle"/>
              <c:size val="5"/>
              <c:spPr>
                <a:solidFill>
                  <a:schemeClr val="accent4"/>
                </a:solidFill>
                <a:ln w="476250">
                  <a:solidFill>
                    <a:schemeClr val="accent4"/>
                  </a:solidFill>
                </a:ln>
                <a:effectLst/>
                <a:scene3d>
                  <a:camera prst="orthographicFront"/>
                  <a:lightRig rig="threePt" dir="t"/>
                </a:scene3d>
                <a:sp3d/>
              </c:spPr>
            </c:marker>
            <c:bubble3D val="0"/>
            <c:spPr>
              <a:ln w="25400" cap="rnd">
                <a:noFill/>
                <a:round/>
              </a:ln>
              <a:effectLst/>
            </c:spPr>
            <c:extLst>
              <c:ext xmlns:c16="http://schemas.microsoft.com/office/drawing/2014/chart" uri="{C3380CC4-5D6E-409C-BE32-E72D297353CC}">
                <c16:uniqueId val="{00000002-0CDA-4C4F-A83E-00F9B68D79BF}"/>
              </c:ext>
            </c:extLst>
          </c:dPt>
          <c:dPt>
            <c:idx val="4"/>
            <c:marker>
              <c:symbol val="circle"/>
              <c:size val="5"/>
              <c:spPr>
                <a:solidFill>
                  <a:schemeClr val="accent5"/>
                </a:solidFill>
                <a:ln w="476250">
                  <a:solidFill>
                    <a:schemeClr val="accent5"/>
                  </a:solidFill>
                </a:ln>
                <a:effectLst/>
                <a:scene3d>
                  <a:camera prst="orthographicFront"/>
                  <a:lightRig rig="threePt" dir="t"/>
                </a:scene3d>
                <a:sp3d/>
              </c:spPr>
            </c:marker>
            <c:bubble3D val="0"/>
            <c:spPr>
              <a:ln w="25400" cap="rnd">
                <a:noFill/>
                <a:round/>
              </a:ln>
              <a:effectLst/>
            </c:spPr>
            <c:extLst>
              <c:ext xmlns:c16="http://schemas.microsoft.com/office/drawing/2014/chart" uri="{C3380CC4-5D6E-409C-BE32-E72D297353CC}">
                <c16:uniqueId val="{00000001-0CDA-4C4F-A83E-00F9B68D79BF}"/>
              </c:ext>
            </c:extLst>
          </c:dPt>
          <c:dLbls>
            <c:dLbl>
              <c:idx val="0"/>
              <c:layout>
                <c:manualLayout>
                  <c:x val="-0.14057852143482064"/>
                  <c:y val="-0.18054709827938176"/>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CDA-4C4F-A83E-00F9B68D79BF}"/>
                </c:ext>
              </c:extLst>
            </c:dLbl>
            <c:dLbl>
              <c:idx val="1"/>
              <c:layout>
                <c:manualLayout>
                  <c:x val="6.4739002351268587E-2"/>
                  <c:y val="-3.2398950131233596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DA-4C4F-A83E-00F9B68D79BF}"/>
                </c:ext>
              </c:extLst>
            </c:dLbl>
            <c:dLbl>
              <c:idx val="2"/>
              <c:layout>
                <c:manualLayout>
                  <c:x val="-3.66533040791776E-2"/>
                  <c:y val="-0.20030018469913483"/>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DA-4C4F-A83E-00F9B68D79BF}"/>
                </c:ext>
              </c:extLst>
            </c:dLbl>
            <c:dLbl>
              <c:idx val="3"/>
              <c:layout>
                <c:manualLayout>
                  <c:x val="-9.0209426946631754E-2"/>
                  <c:y val="-0.17560882667444347"/>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CDA-4C4F-A83E-00F9B68D79BF}"/>
                </c:ext>
              </c:extLst>
            </c:dLbl>
            <c:dLbl>
              <c:idx val="4"/>
              <c:layout>
                <c:manualLayout>
                  <c:x val="-4.8976617180664914E-2"/>
                  <c:y val="-0.14597919704481394"/>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CDA-4C4F-A83E-00F9B68D79BF}"/>
                </c:ext>
              </c:extLst>
            </c:dLbl>
            <c:numFmt formatCode="General" sourceLinked="0"/>
            <c:spPr>
              <a:noFill/>
              <a:ln>
                <a:noFill/>
              </a:ln>
              <a:effectLst/>
            </c:spPr>
            <c:txPr>
              <a:bodyPr rot="0" spcFirstLastPara="1" vertOverflow="clip" horzOverflow="clip"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'category wise saved'!$E$4:$E$8</c:f>
              <c:strCache>
                <c:ptCount val="5"/>
                <c:pt idx="0">
                  <c:v>Furniture</c:v>
                </c:pt>
                <c:pt idx="1">
                  <c:v>IT Hardware</c:v>
                </c:pt>
                <c:pt idx="2">
                  <c:v>MRO</c:v>
                </c:pt>
                <c:pt idx="3">
                  <c:v>Office Equipments</c:v>
                </c:pt>
                <c:pt idx="4">
                  <c:v>Stationery</c:v>
                </c:pt>
              </c:strCache>
            </c:strRef>
          </c:xVal>
          <c:yVal>
            <c:numRef>
              <c:f>'category wise saved'!$F$4:$F$8</c:f>
              <c:numCache>
                <c:formatCode>General</c:formatCode>
                <c:ptCount val="5"/>
                <c:pt idx="0">
                  <c:v>137500</c:v>
                </c:pt>
                <c:pt idx="1">
                  <c:v>185000</c:v>
                </c:pt>
                <c:pt idx="2">
                  <c:v>40464</c:v>
                </c:pt>
                <c:pt idx="3">
                  <c:v>26268</c:v>
                </c:pt>
                <c:pt idx="4">
                  <c:v>36106</c:v>
                </c:pt>
              </c:numCache>
            </c:numRef>
          </c:yVal>
          <c:smooth val="0"/>
          <c:extLst>
            <c:ext xmlns:c16="http://schemas.microsoft.com/office/drawing/2014/chart" uri="{C3380CC4-5D6E-409C-BE32-E72D297353CC}">
              <c16:uniqueId val="{00000000-0CDA-4C4F-A83E-00F9B68D79BF}"/>
            </c:ext>
          </c:extLst>
        </c:ser>
        <c:dLbls>
          <c:showLegendKey val="0"/>
          <c:showVal val="1"/>
          <c:showCatName val="0"/>
          <c:showSerName val="0"/>
          <c:showPercent val="0"/>
          <c:showBubbleSize val="0"/>
        </c:dLbls>
        <c:axId val="115404207"/>
        <c:axId val="1925588111"/>
      </c:scatterChart>
      <c:valAx>
        <c:axId val="11540420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88111"/>
        <c:crosses val="autoZero"/>
        <c:crossBetween val="midCat"/>
      </c:valAx>
      <c:valAx>
        <c:axId val="192558811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54042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'indentor po'!$F$3</c:f>
              <c:strCache>
                <c:ptCount val="1"/>
                <c:pt idx="0">
                  <c:v> Indentor PO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3E-4E84-8346-97282FF65E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3E-4E84-8346-97282FF65E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3E-4E84-8346-97282FF65E6A}"/>
              </c:ext>
            </c:extLst>
          </c:dPt>
          <c:cat>
            <c:strRef>
              <c:f>'indentor po'!$E$4:$E$6</c:f>
              <c:strCache>
                <c:ptCount val="3"/>
                <c:pt idx="0">
                  <c:v>Indentor A</c:v>
                </c:pt>
                <c:pt idx="1">
                  <c:v>Indentor B</c:v>
                </c:pt>
                <c:pt idx="2">
                  <c:v>Indentor C</c:v>
                </c:pt>
              </c:strCache>
            </c:strRef>
          </c:cat>
          <c:val>
            <c:numRef>
              <c:f>'indentor po'!$F$4:$F$6</c:f>
              <c:numCache>
                <c:formatCode>_("₹"* #,##0_);_("₹"* \(#,##0\);_("₹"* "-"_);_(@_)</c:formatCode>
                <c:ptCount val="3"/>
                <c:pt idx="0">
                  <c:v>2404754</c:v>
                </c:pt>
                <c:pt idx="1">
                  <c:v>2463800</c:v>
                </c:pt>
                <c:pt idx="2">
                  <c:v>1679144</c:v>
                </c:pt>
              </c:numCache>
            </c:numRef>
          </c:val>
          <c:extLst>
            <c:ext xmlns:c16="http://schemas.microsoft.com/office/drawing/2014/chart" uri="{C3380CC4-5D6E-409C-BE32-E72D297353CC}">
              <c16:uniqueId val="{00000000-7965-44CD-BD06-3603979338D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https://pixabay.com/en/rainbow-colors-symbol-logo-pride-1192500/" TargetMode="Externa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7.png"/><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1</xdr:col>
      <xdr:colOff>405384</xdr:colOff>
      <xdr:row>38</xdr:row>
      <xdr:rowOff>128016</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548640"/>
          <a:ext cx="2029968" cy="6345936"/>
        </a:xfrm>
        <a:prstGeom prst="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440011</xdr:colOff>
      <xdr:row>5</xdr:row>
      <xdr:rowOff>22860</xdr:rowOff>
    </xdr:from>
    <xdr:to>
      <xdr:col>3</xdr:col>
      <xdr:colOff>228811</xdr:colOff>
      <xdr:row>22</xdr:row>
      <xdr:rowOff>81900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099937" y="752663"/>
          <a:ext cx="2017431" cy="316070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endParaRPr>
        </a:p>
      </xdr:txBody>
    </xdr:sp>
    <xdr:clientData/>
  </xdr:twoCellAnchor>
  <xdr:twoCellAnchor editAs="absolute">
    <xdr:from>
      <xdr:col>3</xdr:col>
      <xdr:colOff>259078</xdr:colOff>
      <xdr:row>5</xdr:row>
      <xdr:rowOff>99060</xdr:rowOff>
    </xdr:from>
    <xdr:to>
      <xdr:col>7</xdr:col>
      <xdr:colOff>20182</xdr:colOff>
      <xdr:row>13</xdr:row>
      <xdr:rowOff>175612</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170501" y="834784"/>
          <a:ext cx="4392001" cy="1548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3</xdr:col>
      <xdr:colOff>259080</xdr:colOff>
      <xdr:row>14</xdr:row>
      <xdr:rowOff>38100</xdr:rowOff>
    </xdr:from>
    <xdr:to>
      <xdr:col>7</xdr:col>
      <xdr:colOff>16680</xdr:colOff>
      <xdr:row>22</xdr:row>
      <xdr:rowOff>123060</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175760" y="2415540"/>
          <a:ext cx="4392000" cy="1548000"/>
        </a:xfrm>
        <a:prstGeom prst="roundRect">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1</xdr:col>
      <xdr:colOff>422910</xdr:colOff>
      <xdr:row>30</xdr:row>
      <xdr:rowOff>45720</xdr:rowOff>
    </xdr:from>
    <xdr:to>
      <xdr:col>3</xdr:col>
      <xdr:colOff>103710</xdr:colOff>
      <xdr:row>37</xdr:row>
      <xdr:rowOff>7620</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2065020" y="5349240"/>
          <a:ext cx="1800000" cy="1242060"/>
        </a:xfrm>
        <a:prstGeom prst="round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300990</xdr:colOff>
      <xdr:row>23</xdr:row>
      <xdr:rowOff>28273</xdr:rowOff>
    </xdr:from>
    <xdr:to>
      <xdr:col>5</xdr:col>
      <xdr:colOff>161790</xdr:colOff>
      <xdr:row>29</xdr:row>
      <xdr:rowOff>173053</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4270213" y="4121808"/>
          <a:ext cx="2167088" cy="126119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3</xdr:col>
      <xdr:colOff>293370</xdr:colOff>
      <xdr:row>30</xdr:row>
      <xdr:rowOff>59704</xdr:rowOff>
    </xdr:from>
    <xdr:to>
      <xdr:col>5</xdr:col>
      <xdr:colOff>154170</xdr:colOff>
      <xdr:row>37</xdr:row>
      <xdr:rowOff>18414</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4254973" y="5455727"/>
          <a:ext cx="2167088" cy="126119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5</xdr:col>
      <xdr:colOff>175260</xdr:colOff>
      <xdr:row>30</xdr:row>
      <xdr:rowOff>19754</xdr:rowOff>
    </xdr:from>
    <xdr:to>
      <xdr:col>7</xdr:col>
      <xdr:colOff>36060</xdr:colOff>
      <xdr:row>36</xdr:row>
      <xdr:rowOff>164534</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464241" y="5415777"/>
          <a:ext cx="2167088" cy="126119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5</xdr:col>
      <xdr:colOff>179070</xdr:colOff>
      <xdr:row>23</xdr:row>
      <xdr:rowOff>28773</xdr:rowOff>
    </xdr:from>
    <xdr:to>
      <xdr:col>7</xdr:col>
      <xdr:colOff>39870</xdr:colOff>
      <xdr:row>29</xdr:row>
      <xdr:rowOff>173553</xdr:rowOff>
    </xdr:to>
    <xdr:sp macro=""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6471861" y="4122308"/>
          <a:ext cx="2167088" cy="126119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3</xdr:col>
      <xdr:colOff>259080</xdr:colOff>
      <xdr:row>14</xdr:row>
      <xdr:rowOff>106680</xdr:rowOff>
    </xdr:from>
    <xdr:to>
      <xdr:col>7</xdr:col>
      <xdr:colOff>16680</xdr:colOff>
      <xdr:row>22</xdr:row>
      <xdr:rowOff>155640</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4170790" y="2475506"/>
          <a:ext cx="4385374" cy="150669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1</xdr:col>
      <xdr:colOff>422910</xdr:colOff>
      <xdr:row>22</xdr:row>
      <xdr:rowOff>137160</xdr:rowOff>
    </xdr:from>
    <xdr:to>
      <xdr:col>3</xdr:col>
      <xdr:colOff>265710</xdr:colOff>
      <xdr:row>29</xdr:row>
      <xdr:rowOff>99060</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2068369" y="4005775"/>
          <a:ext cx="2130699" cy="1251439"/>
        </a:xfrm>
        <a:prstGeom prst="roundRect">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422910</xdr:colOff>
      <xdr:row>23</xdr:row>
      <xdr:rowOff>38100</xdr:rowOff>
    </xdr:from>
    <xdr:to>
      <xdr:col>3</xdr:col>
      <xdr:colOff>265710</xdr:colOff>
      <xdr:row>29</xdr:row>
      <xdr:rowOff>164820</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2065020" y="4109357"/>
          <a:ext cx="2124000" cy="123706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1</xdr:col>
      <xdr:colOff>476248</xdr:colOff>
      <xdr:row>30</xdr:row>
      <xdr:rowOff>45720</xdr:rowOff>
    </xdr:from>
    <xdr:to>
      <xdr:col>3</xdr:col>
      <xdr:colOff>266800</xdr:colOff>
      <xdr:row>37</xdr:row>
      <xdr:rowOff>25560</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2175045" y="5388094"/>
          <a:ext cx="2026203" cy="126937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9</xdr:col>
      <xdr:colOff>209547</xdr:colOff>
      <xdr:row>14</xdr:row>
      <xdr:rowOff>91440</xdr:rowOff>
    </xdr:from>
    <xdr:to>
      <xdr:col>11</xdr:col>
      <xdr:colOff>487590</xdr:colOff>
      <xdr:row>36</xdr:row>
      <xdr:rowOff>100080</xdr:rowOff>
    </xdr:to>
    <xdr:sp macro=""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11362712" y="2515249"/>
          <a:ext cx="2988000" cy="4110469"/>
        </a:xfrm>
        <a:prstGeom prst="round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7</xdr:col>
      <xdr:colOff>64200</xdr:colOff>
      <xdr:row>14</xdr:row>
      <xdr:rowOff>113511</xdr:rowOff>
    </xdr:from>
    <xdr:to>
      <xdr:col>9</xdr:col>
      <xdr:colOff>159000</xdr:colOff>
      <xdr:row>36</xdr:row>
      <xdr:rowOff>122151</xdr:rowOff>
    </xdr:to>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8672241" y="2480431"/>
          <a:ext cx="2630697" cy="401419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7</xdr:col>
      <xdr:colOff>41910</xdr:colOff>
      <xdr:row>19</xdr:row>
      <xdr:rowOff>106680</xdr:rowOff>
    </xdr:from>
    <xdr:to>
      <xdr:col>7</xdr:col>
      <xdr:colOff>134275</xdr:colOff>
      <xdr:row>21</xdr:row>
      <xdr:rowOff>2272</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8618220" y="33985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twoCellAnchor>
  <xdr:twoCellAnchor editAs="absolute">
    <xdr:from>
      <xdr:col>3</xdr:col>
      <xdr:colOff>314674</xdr:colOff>
      <xdr:row>5</xdr:row>
      <xdr:rowOff>73405</xdr:rowOff>
    </xdr:from>
    <xdr:to>
      <xdr:col>4</xdr:col>
      <xdr:colOff>253714</xdr:colOff>
      <xdr:row>7</xdr:row>
      <xdr:rowOff>182069</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4281537" y="812861"/>
          <a:ext cx="1095477" cy="47839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lumMod val="65000"/>
                  <a:lumOff val="35000"/>
                </a:schemeClr>
              </a:solidFill>
              <a:latin typeface="Agency FB" panose="020B0503020202020204" pitchFamily="34" charset="0"/>
            </a:rPr>
            <a:t>Savings</a:t>
          </a:r>
          <a:endParaRPr lang="en-IN" sz="1100">
            <a:solidFill>
              <a:schemeClr val="tx1">
                <a:lumMod val="65000"/>
                <a:lumOff val="35000"/>
              </a:schemeClr>
            </a:solidFill>
            <a:latin typeface="Agency FB" panose="020B0503020202020204" pitchFamily="34" charset="0"/>
          </a:endParaRPr>
        </a:p>
      </xdr:txBody>
    </xdr:sp>
    <xdr:clientData/>
  </xdr:twoCellAnchor>
  <xdr:twoCellAnchor editAs="absolute">
    <xdr:from>
      <xdr:col>3</xdr:col>
      <xdr:colOff>335280</xdr:colOff>
      <xdr:row>6</xdr:row>
      <xdr:rowOff>60960</xdr:rowOff>
    </xdr:from>
    <xdr:to>
      <xdr:col>3</xdr:col>
      <xdr:colOff>415290</xdr:colOff>
      <xdr:row>7</xdr:row>
      <xdr:rowOff>38100</xdr:rowOff>
    </xdr:to>
    <xdr:sp macro="" textlink="">
      <xdr:nvSpPr>
        <xdr:cNvPr id="8" name="Flowchart: Connector 7">
          <a:extLst>
            <a:ext uri="{FF2B5EF4-FFF2-40B4-BE49-F238E27FC236}">
              <a16:creationId xmlns:a16="http://schemas.microsoft.com/office/drawing/2014/main" id="{00000000-0008-0000-0100-000008000000}"/>
            </a:ext>
          </a:extLst>
        </xdr:cNvPr>
        <xdr:cNvSpPr/>
      </xdr:nvSpPr>
      <xdr:spPr>
        <a:xfrm>
          <a:off x="4328160" y="975360"/>
          <a:ext cx="160020" cy="160020"/>
        </a:xfrm>
        <a:prstGeom prst="flowChartConnector">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487680</xdr:colOff>
      <xdr:row>5</xdr:row>
      <xdr:rowOff>167640</xdr:rowOff>
    </xdr:from>
    <xdr:to>
      <xdr:col>6</xdr:col>
      <xdr:colOff>575310</xdr:colOff>
      <xdr:row>7</xdr:row>
      <xdr:rowOff>53340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071360" y="899160"/>
          <a:ext cx="1394460" cy="25146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lumMod val="75000"/>
                  <a:lumOff val="25000"/>
                </a:schemeClr>
              </a:solidFill>
              <a:latin typeface="Agency FB" panose="020B0503020202020204" pitchFamily="34" charset="0"/>
              <a:ea typeface="+mn-ea"/>
              <a:cs typeface="+mn-cs"/>
            </a:rPr>
            <a:t>Monthley</a:t>
          </a:r>
          <a:r>
            <a:rPr lang="en-IN" sz="1100">
              <a:ln>
                <a:solidFill>
                  <a:schemeClr val="tx1">
                    <a:lumMod val="85000"/>
                    <a:lumOff val="15000"/>
                  </a:schemeClr>
                </a:solidFill>
              </a:ln>
            </a:rPr>
            <a:t> </a:t>
          </a:r>
          <a:r>
            <a:rPr lang="en-IN" sz="1800">
              <a:solidFill>
                <a:schemeClr val="tx1">
                  <a:lumMod val="75000"/>
                  <a:lumOff val="25000"/>
                </a:schemeClr>
              </a:solidFill>
              <a:latin typeface="Agency FB" panose="020B0503020202020204" pitchFamily="34" charset="0"/>
              <a:ea typeface="+mn-ea"/>
              <a:cs typeface="+mn-cs"/>
            </a:rPr>
            <a:t>Trends</a:t>
          </a:r>
        </a:p>
      </xdr:txBody>
    </xdr:sp>
    <xdr:clientData/>
  </xdr:twoCellAnchor>
  <xdr:twoCellAnchor editAs="absolute">
    <xdr:from>
      <xdr:col>3</xdr:col>
      <xdr:colOff>308610</xdr:colOff>
      <xdr:row>6</xdr:row>
      <xdr:rowOff>53340</xdr:rowOff>
    </xdr:from>
    <xdr:to>
      <xdr:col>6</xdr:col>
      <xdr:colOff>571500</xdr:colOff>
      <xdr:row>13</xdr:row>
      <xdr:rowOff>38100</xdr:rowOff>
    </xdr:to>
    <xdr:graphicFrame macro="">
      <xdr:nvGraphicFramePr>
        <xdr:cNvPr id="27" name="Chart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200673</xdr:colOff>
      <xdr:row>15</xdr:row>
      <xdr:rowOff>2800</xdr:rowOff>
    </xdr:from>
    <xdr:to>
      <xdr:col>11</xdr:col>
      <xdr:colOff>496716</xdr:colOff>
      <xdr:row>37</xdr:row>
      <xdr:rowOff>11440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11344964" y="2613055"/>
          <a:ext cx="3024000" cy="411047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4</xdr:col>
      <xdr:colOff>190573</xdr:colOff>
      <xdr:row>17</xdr:row>
      <xdr:rowOff>149488</xdr:rowOff>
    </xdr:from>
    <xdr:to>
      <xdr:col>4</xdr:col>
      <xdr:colOff>597849</xdr:colOff>
      <xdr:row>19</xdr:row>
      <xdr:rowOff>60725</xdr:rowOff>
    </xdr:to>
    <xdr:sp macro="" textlink="Year!G4">
      <xdr:nvSpPr>
        <xdr:cNvPr id="15" name="TextBox 14">
          <a:extLst>
            <a:ext uri="{FF2B5EF4-FFF2-40B4-BE49-F238E27FC236}">
              <a16:creationId xmlns:a16="http://schemas.microsoft.com/office/drawing/2014/main" id="{00000000-0008-0000-0100-00000F000000}"/>
            </a:ext>
          </a:extLst>
        </xdr:cNvPr>
        <xdr:cNvSpPr txBox="1"/>
      </xdr:nvSpPr>
      <xdr:spPr>
        <a:xfrm>
          <a:off x="5244247" y="3026252"/>
          <a:ext cx="81455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821F66-BDFF-43FA-A600-6B57016C68C4}" type="TxLink">
            <a:rPr lang="en-US" sz="1200" b="1" i="0" u="none" strike="noStrike">
              <a:solidFill>
                <a:srgbClr val="C1121F"/>
              </a:solidFill>
              <a:latin typeface="Calibri"/>
              <a:ea typeface="Calibri"/>
              <a:cs typeface="Calibri"/>
            </a:rPr>
            <a:pPr/>
            <a:t>82.5%</a:t>
          </a:fld>
          <a:endParaRPr lang="en-IN" sz="1200" b="1">
            <a:solidFill>
              <a:srgbClr val="C1121F"/>
            </a:solidFill>
          </a:endParaRPr>
        </a:p>
      </xdr:txBody>
    </xdr:sp>
    <xdr:clientData/>
  </xdr:twoCellAnchor>
  <xdr:twoCellAnchor editAs="absolute">
    <xdr:from>
      <xdr:col>3</xdr:col>
      <xdr:colOff>384260</xdr:colOff>
      <xdr:row>14</xdr:row>
      <xdr:rowOff>178481</xdr:rowOff>
    </xdr:from>
    <xdr:to>
      <xdr:col>5</xdr:col>
      <xdr:colOff>234757</xdr:colOff>
      <xdr:row>22</xdr:row>
      <xdr:rowOff>30788</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140383</xdr:colOff>
      <xdr:row>14</xdr:row>
      <xdr:rowOff>178481</xdr:rowOff>
    </xdr:from>
    <xdr:to>
      <xdr:col>6</xdr:col>
      <xdr:colOff>599723</xdr:colOff>
      <xdr:row>22</xdr:row>
      <xdr:rowOff>32663</xdr:rowOff>
    </xdr:to>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315708</xdr:colOff>
      <xdr:row>14</xdr:row>
      <xdr:rowOff>65128</xdr:rowOff>
    </xdr:from>
    <xdr:to>
      <xdr:col>4</xdr:col>
      <xdr:colOff>462410</xdr:colOff>
      <xdr:row>15</xdr:row>
      <xdr:rowOff>156307</xdr:rowOff>
    </xdr:to>
    <xdr:sp macro="" textlink="">
      <xdr:nvSpPr>
        <xdr:cNvPr id="33" name="Rectangle 32">
          <a:extLst>
            <a:ext uri="{FF2B5EF4-FFF2-40B4-BE49-F238E27FC236}">
              <a16:creationId xmlns:a16="http://schemas.microsoft.com/office/drawing/2014/main" id="{00000000-0008-0000-0100-000021000000}"/>
            </a:ext>
          </a:extLst>
        </xdr:cNvPr>
        <xdr:cNvSpPr/>
      </xdr:nvSpPr>
      <xdr:spPr>
        <a:xfrm>
          <a:off x="4285108" y="2435795"/>
          <a:ext cx="1511302" cy="2735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500">
              <a:solidFill>
                <a:schemeClr val="tx1">
                  <a:lumMod val="65000"/>
                  <a:lumOff val="35000"/>
                </a:schemeClr>
              </a:solidFill>
              <a:latin typeface="Agency FB" panose="020B0503020202020204" pitchFamily="34" charset="0"/>
            </a:rPr>
            <a:t>Savings</a:t>
          </a:r>
          <a:r>
            <a:rPr lang="en-IN" sz="1800">
              <a:solidFill>
                <a:schemeClr val="tx1">
                  <a:lumMod val="65000"/>
                  <a:lumOff val="35000"/>
                </a:schemeClr>
              </a:solidFill>
              <a:latin typeface="Agency FB" panose="020B0503020202020204" pitchFamily="34" charset="0"/>
            </a:rPr>
            <a:t>  </a:t>
          </a:r>
          <a:r>
            <a:rPr lang="en-IN" sz="1500">
              <a:solidFill>
                <a:schemeClr val="tx1">
                  <a:lumMod val="85000"/>
                  <a:lumOff val="15000"/>
                </a:schemeClr>
              </a:solidFill>
              <a:latin typeface="Agency FB" panose="020B0503020202020204" pitchFamily="34" charset="0"/>
            </a:rPr>
            <a:t>2022</a:t>
          </a:r>
        </a:p>
      </xdr:txBody>
    </xdr:sp>
    <xdr:clientData/>
  </xdr:twoCellAnchor>
  <xdr:twoCellAnchor editAs="absolute">
    <xdr:from>
      <xdr:col>3</xdr:col>
      <xdr:colOff>370578</xdr:colOff>
      <xdr:row>14</xdr:row>
      <xdr:rowOff>155818</xdr:rowOff>
    </xdr:from>
    <xdr:to>
      <xdr:col>3</xdr:col>
      <xdr:colOff>429845</xdr:colOff>
      <xdr:row>15</xdr:row>
      <xdr:rowOff>91178</xdr:rowOff>
    </xdr:to>
    <xdr:sp macro="" textlink="">
      <xdr:nvSpPr>
        <xdr:cNvPr id="34" name="Flowchart: Connector 33">
          <a:extLst>
            <a:ext uri="{FF2B5EF4-FFF2-40B4-BE49-F238E27FC236}">
              <a16:creationId xmlns:a16="http://schemas.microsoft.com/office/drawing/2014/main" id="{00000000-0008-0000-0100-000022000000}"/>
            </a:ext>
          </a:extLst>
        </xdr:cNvPr>
        <xdr:cNvSpPr/>
      </xdr:nvSpPr>
      <xdr:spPr>
        <a:xfrm>
          <a:off x="4394849" y="2526485"/>
          <a:ext cx="118534" cy="117719"/>
        </a:xfrm>
        <a:prstGeom prst="flowChartConnector">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206292</xdr:colOff>
      <xdr:row>14</xdr:row>
      <xdr:rowOff>45590</xdr:rowOff>
    </xdr:from>
    <xdr:to>
      <xdr:col>6</xdr:col>
      <xdr:colOff>410307</xdr:colOff>
      <xdr:row>15</xdr:row>
      <xdr:rowOff>139374</xdr:rowOff>
    </xdr:to>
    <xdr:sp macro="" textlink="">
      <xdr:nvSpPr>
        <xdr:cNvPr id="35" name="Rectangle 34">
          <a:extLst>
            <a:ext uri="{FF2B5EF4-FFF2-40B4-BE49-F238E27FC236}">
              <a16:creationId xmlns:a16="http://schemas.microsoft.com/office/drawing/2014/main" id="{00000000-0008-0000-0100-000023000000}"/>
            </a:ext>
          </a:extLst>
        </xdr:cNvPr>
        <xdr:cNvSpPr/>
      </xdr:nvSpPr>
      <xdr:spPr>
        <a:xfrm>
          <a:off x="6502072" y="2416257"/>
          <a:ext cx="1625928" cy="2761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500">
              <a:solidFill>
                <a:schemeClr val="tx1">
                  <a:lumMod val="65000"/>
                  <a:lumOff val="35000"/>
                </a:schemeClr>
              </a:solidFill>
              <a:latin typeface="Agency FB" panose="020B0503020202020204" pitchFamily="34" charset="0"/>
            </a:rPr>
            <a:t>Savings</a:t>
          </a:r>
          <a:r>
            <a:rPr lang="en-IN" sz="1800">
              <a:solidFill>
                <a:schemeClr val="tx1">
                  <a:lumMod val="65000"/>
                  <a:lumOff val="35000"/>
                </a:schemeClr>
              </a:solidFill>
              <a:latin typeface="Agency FB" panose="020B0503020202020204" pitchFamily="34" charset="0"/>
            </a:rPr>
            <a:t>  </a:t>
          </a:r>
          <a:r>
            <a:rPr lang="en-IN" sz="1500">
              <a:solidFill>
                <a:schemeClr val="tx1">
                  <a:lumMod val="85000"/>
                  <a:lumOff val="15000"/>
                </a:schemeClr>
              </a:solidFill>
              <a:latin typeface="Agency FB" panose="020B0503020202020204" pitchFamily="34" charset="0"/>
            </a:rPr>
            <a:t>2023</a:t>
          </a:r>
        </a:p>
      </xdr:txBody>
    </xdr:sp>
    <xdr:clientData/>
  </xdr:twoCellAnchor>
  <xdr:twoCellAnchor editAs="absolute">
    <xdr:from>
      <xdr:col>5</xdr:col>
      <xdr:colOff>326290</xdr:colOff>
      <xdr:row>14</xdr:row>
      <xdr:rowOff>154956</xdr:rowOff>
    </xdr:from>
    <xdr:to>
      <xdr:col>5</xdr:col>
      <xdr:colOff>381000</xdr:colOff>
      <xdr:row>15</xdr:row>
      <xdr:rowOff>88832</xdr:rowOff>
    </xdr:to>
    <xdr:sp macro="" textlink="">
      <xdr:nvSpPr>
        <xdr:cNvPr id="36" name="Flowchart: Connector 35">
          <a:extLst>
            <a:ext uri="{FF2B5EF4-FFF2-40B4-BE49-F238E27FC236}">
              <a16:creationId xmlns:a16="http://schemas.microsoft.com/office/drawing/2014/main" id="{00000000-0008-0000-0100-000024000000}"/>
            </a:ext>
          </a:extLst>
        </xdr:cNvPr>
        <xdr:cNvSpPr/>
      </xdr:nvSpPr>
      <xdr:spPr>
        <a:xfrm>
          <a:off x="6766302" y="2573863"/>
          <a:ext cx="109420" cy="119946"/>
        </a:xfrm>
        <a:prstGeom prst="flowChartConnector">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5</xdr:col>
      <xdr:colOff>539393</xdr:colOff>
      <xdr:row>17</xdr:row>
      <xdr:rowOff>147108</xdr:rowOff>
    </xdr:from>
    <xdr:to>
      <xdr:col>6</xdr:col>
      <xdr:colOff>215737</xdr:colOff>
      <xdr:row>19</xdr:row>
      <xdr:rowOff>58345</xdr:rowOff>
    </xdr:to>
    <xdr:sp macro="" textlink="Year!G8">
      <xdr:nvSpPr>
        <xdr:cNvPr id="38" name="TextBox 37">
          <a:extLst>
            <a:ext uri="{FF2B5EF4-FFF2-40B4-BE49-F238E27FC236}">
              <a16:creationId xmlns:a16="http://schemas.microsoft.com/office/drawing/2014/main" id="{00000000-0008-0000-0100-000026000000}"/>
            </a:ext>
          </a:extLst>
        </xdr:cNvPr>
        <xdr:cNvSpPr txBox="1"/>
      </xdr:nvSpPr>
      <xdr:spPr>
        <a:xfrm>
          <a:off x="7159392" y="3102744"/>
          <a:ext cx="57188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324C46-5EDB-47CD-B6EA-92CFCEE283FD}" type="TxLink">
            <a:rPr lang="en-US" sz="1200" b="1" i="0" u="none" strike="noStrike">
              <a:solidFill>
                <a:srgbClr val="003049"/>
              </a:solidFill>
              <a:latin typeface="Calibri"/>
              <a:ea typeface="Calibri"/>
              <a:cs typeface="Calibri"/>
            </a:rPr>
            <a:pPr/>
            <a:t>17.5%</a:t>
          </a:fld>
          <a:endParaRPr lang="en-IN" sz="1200" b="1">
            <a:solidFill>
              <a:srgbClr val="003049"/>
            </a:solidFill>
          </a:endParaRPr>
        </a:p>
      </xdr:txBody>
    </xdr:sp>
    <xdr:clientData/>
  </xdr:twoCellAnchor>
  <xdr:twoCellAnchor editAs="absolute">
    <xdr:from>
      <xdr:col>4</xdr:col>
      <xdr:colOff>40340</xdr:colOff>
      <xdr:row>24</xdr:row>
      <xdr:rowOff>25432</xdr:rowOff>
    </xdr:from>
    <xdr:to>
      <xdr:col>4</xdr:col>
      <xdr:colOff>400340</xdr:colOff>
      <xdr:row>28</xdr:row>
      <xdr:rowOff>9708</xdr:rowOff>
    </xdr:to>
    <xdr:sp macro="" textlink="">
      <xdr:nvSpPr>
        <xdr:cNvPr id="39" name="Flowchart: Connector 38">
          <a:extLst>
            <a:ext uri="{FF2B5EF4-FFF2-40B4-BE49-F238E27FC236}">
              <a16:creationId xmlns:a16="http://schemas.microsoft.com/office/drawing/2014/main" id="{00000000-0008-0000-0100-000027000000}"/>
            </a:ext>
          </a:extLst>
        </xdr:cNvPr>
        <xdr:cNvSpPr/>
      </xdr:nvSpPr>
      <xdr:spPr>
        <a:xfrm>
          <a:off x="4960483" y="4255846"/>
          <a:ext cx="720000" cy="720000"/>
        </a:xfrm>
        <a:prstGeom prst="flowChartConnector">
          <a:avLst/>
        </a:prstGeom>
        <a:solidFill>
          <a:schemeClr val="bg2">
            <a:lumMod val="90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539445</xdr:colOff>
      <xdr:row>24</xdr:row>
      <xdr:rowOff>95492</xdr:rowOff>
    </xdr:from>
    <xdr:to>
      <xdr:col>6</xdr:col>
      <xdr:colOff>289470</xdr:colOff>
      <xdr:row>28</xdr:row>
      <xdr:rowOff>79768</xdr:rowOff>
    </xdr:to>
    <xdr:sp macro="" textlink="">
      <xdr:nvSpPr>
        <xdr:cNvPr id="59" name="Flowchart: Connector 58">
          <a:extLst>
            <a:ext uri="{FF2B5EF4-FFF2-40B4-BE49-F238E27FC236}">
              <a16:creationId xmlns:a16="http://schemas.microsoft.com/office/drawing/2014/main" id="{00000000-0008-0000-0100-00003B000000}"/>
            </a:ext>
          </a:extLst>
        </xdr:cNvPr>
        <xdr:cNvSpPr/>
      </xdr:nvSpPr>
      <xdr:spPr>
        <a:xfrm>
          <a:off x="7178644" y="4325906"/>
          <a:ext cx="720000" cy="720000"/>
        </a:xfrm>
        <a:prstGeom prst="flowChartConnector">
          <a:avLst/>
        </a:prstGeom>
        <a:solidFill>
          <a:schemeClr val="bg2">
            <a:lumMod val="90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535635</xdr:colOff>
      <xdr:row>31</xdr:row>
      <xdr:rowOff>87872</xdr:rowOff>
    </xdr:from>
    <xdr:to>
      <xdr:col>6</xdr:col>
      <xdr:colOff>285660</xdr:colOff>
      <xdr:row>35</xdr:row>
      <xdr:rowOff>72148</xdr:rowOff>
    </xdr:to>
    <xdr:sp macro="" textlink="">
      <xdr:nvSpPr>
        <xdr:cNvPr id="60" name="Flowchart: Connector 59">
          <a:extLst>
            <a:ext uri="{FF2B5EF4-FFF2-40B4-BE49-F238E27FC236}">
              <a16:creationId xmlns:a16="http://schemas.microsoft.com/office/drawing/2014/main" id="{00000000-0008-0000-0100-00003C000000}"/>
            </a:ext>
          </a:extLst>
        </xdr:cNvPr>
        <xdr:cNvSpPr/>
      </xdr:nvSpPr>
      <xdr:spPr>
        <a:xfrm>
          <a:off x="7171024" y="5605803"/>
          <a:ext cx="720000" cy="720000"/>
        </a:xfrm>
        <a:prstGeom prst="flowChartConnector">
          <a:avLst/>
        </a:prstGeom>
        <a:solidFill>
          <a:schemeClr val="bg2">
            <a:lumMod val="90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43770</xdr:colOff>
      <xdr:row>31</xdr:row>
      <xdr:rowOff>103112</xdr:rowOff>
    </xdr:from>
    <xdr:to>
      <xdr:col>4</xdr:col>
      <xdr:colOff>403770</xdr:colOff>
      <xdr:row>35</xdr:row>
      <xdr:rowOff>87388</xdr:rowOff>
    </xdr:to>
    <xdr:sp macro="" textlink="">
      <xdr:nvSpPr>
        <xdr:cNvPr id="61" name="Flowchart: Connector 60">
          <a:extLst>
            <a:ext uri="{FF2B5EF4-FFF2-40B4-BE49-F238E27FC236}">
              <a16:creationId xmlns:a16="http://schemas.microsoft.com/office/drawing/2014/main" id="{00000000-0008-0000-0100-00003D000000}"/>
            </a:ext>
          </a:extLst>
        </xdr:cNvPr>
        <xdr:cNvSpPr/>
      </xdr:nvSpPr>
      <xdr:spPr>
        <a:xfrm>
          <a:off x="4967343" y="5621043"/>
          <a:ext cx="720000" cy="720000"/>
        </a:xfrm>
        <a:prstGeom prst="flowChartConnector">
          <a:avLst/>
        </a:prstGeom>
        <a:solidFill>
          <a:schemeClr val="bg2">
            <a:lumMod val="90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516756</xdr:colOff>
      <xdr:row>23</xdr:row>
      <xdr:rowOff>101102</xdr:rowOff>
    </xdr:from>
    <xdr:to>
      <xdr:col>4</xdr:col>
      <xdr:colOff>522513</xdr:colOff>
      <xdr:row>28</xdr:row>
      <xdr:rowOff>123373</xdr:rowOff>
    </xdr:to>
    <xdr:graphicFrame macro="">
      <xdr:nvGraphicFramePr>
        <xdr:cNvPr id="62" name="Chart 61">
          <a:extLst>
            <a:ext uri="{FF2B5EF4-FFF2-40B4-BE49-F238E27FC236}">
              <a16:creationId xmlns:a16="http://schemas.microsoft.com/office/drawing/2014/main" id="{00000000-0008-0000-01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436177</xdr:colOff>
      <xdr:row>23</xdr:row>
      <xdr:rowOff>161159</xdr:rowOff>
    </xdr:from>
    <xdr:to>
      <xdr:col>6</xdr:col>
      <xdr:colOff>395514</xdr:colOff>
      <xdr:row>29</xdr:row>
      <xdr:rowOff>7257</xdr:rowOff>
    </xdr:to>
    <xdr:graphicFrame macro="">
      <xdr:nvGraphicFramePr>
        <xdr:cNvPr id="64" name="Chart 63">
          <a:extLst>
            <a:ext uri="{FF2B5EF4-FFF2-40B4-BE49-F238E27FC236}">
              <a16:creationId xmlns:a16="http://schemas.microsoft.com/office/drawing/2014/main" id="{00000000-0008-0000-01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188454</xdr:colOff>
      <xdr:row>30</xdr:row>
      <xdr:rowOff>26501</xdr:rowOff>
    </xdr:from>
    <xdr:to>
      <xdr:col>7</xdr:col>
      <xdr:colOff>49254</xdr:colOff>
      <xdr:row>36</xdr:row>
      <xdr:rowOff>171281</xdr:rowOff>
    </xdr:to>
    <xdr:sp macro="" textlink="">
      <xdr:nvSpPr>
        <xdr:cNvPr id="71" name="Rectangle: Rounded Corners 70">
          <a:extLst>
            <a:ext uri="{FF2B5EF4-FFF2-40B4-BE49-F238E27FC236}">
              <a16:creationId xmlns:a16="http://schemas.microsoft.com/office/drawing/2014/main" id="{00000000-0008-0000-0100-000047000000}"/>
            </a:ext>
          </a:extLst>
        </xdr:cNvPr>
        <xdr:cNvSpPr/>
      </xdr:nvSpPr>
      <xdr:spPr>
        <a:xfrm>
          <a:off x="6476662" y="5360501"/>
          <a:ext cx="2161501" cy="124836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5</xdr:col>
      <xdr:colOff>362230</xdr:colOff>
      <xdr:row>30</xdr:row>
      <xdr:rowOff>142641</xdr:rowOff>
    </xdr:from>
    <xdr:to>
      <xdr:col>6</xdr:col>
      <xdr:colOff>411385</xdr:colOff>
      <xdr:row>36</xdr:row>
      <xdr:rowOff>147765</xdr:rowOff>
    </xdr:to>
    <xdr:graphicFrame macro="">
      <xdr:nvGraphicFramePr>
        <xdr:cNvPr id="72" name="Chart 71">
          <a:extLst>
            <a:ext uri="{FF2B5EF4-FFF2-40B4-BE49-F238E27FC236}">
              <a16:creationId xmlns:a16="http://schemas.microsoft.com/office/drawing/2014/main" id="{00000000-0008-0000-01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xdr:col>
      <xdr:colOff>272856</xdr:colOff>
      <xdr:row>30</xdr:row>
      <xdr:rowOff>52665</xdr:rowOff>
    </xdr:from>
    <xdr:to>
      <xdr:col>5</xdr:col>
      <xdr:colOff>133656</xdr:colOff>
      <xdr:row>37</xdr:row>
      <xdr:rowOff>13514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4205565" y="5386665"/>
          <a:ext cx="2161502" cy="124836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3</xdr:col>
      <xdr:colOff>546910</xdr:colOff>
      <xdr:row>31</xdr:row>
      <xdr:rowOff>9010</xdr:rowOff>
    </xdr:from>
    <xdr:to>
      <xdr:col>4</xdr:col>
      <xdr:colOff>518885</xdr:colOff>
      <xdr:row>35</xdr:row>
      <xdr:rowOff>174171</xdr:rowOff>
    </xdr:to>
    <xdr:graphicFrame macro="">
      <xdr:nvGraphicFramePr>
        <xdr:cNvPr id="81" name="Chart 80">
          <a:extLst>
            <a:ext uri="{FF2B5EF4-FFF2-40B4-BE49-F238E27FC236}">
              <a16:creationId xmlns:a16="http://schemas.microsoft.com/office/drawing/2014/main" id="{00000000-0008-0000-01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462374</xdr:colOff>
      <xdr:row>28</xdr:row>
      <xdr:rowOff>50242</xdr:rowOff>
    </xdr:from>
    <xdr:to>
      <xdr:col>6</xdr:col>
      <xdr:colOff>369710</xdr:colOff>
      <xdr:row>29</xdr:row>
      <xdr:rowOff>175138</xdr:rowOff>
    </xdr:to>
    <xdr:sp macro="" textlink="Qrt!G9">
      <xdr:nvSpPr>
        <xdr:cNvPr id="83" name="TextBox 82">
          <a:extLst>
            <a:ext uri="{FF2B5EF4-FFF2-40B4-BE49-F238E27FC236}">
              <a16:creationId xmlns:a16="http://schemas.microsoft.com/office/drawing/2014/main" id="{00000000-0008-0000-0100-000053000000}"/>
            </a:ext>
          </a:extLst>
        </xdr:cNvPr>
        <xdr:cNvSpPr txBox="1"/>
      </xdr:nvSpPr>
      <xdr:spPr>
        <a:xfrm>
          <a:off x="7038469" y="5074126"/>
          <a:ext cx="1033873"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E241BFE6-BD6D-468D-A527-B51091A7A758}"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1,41,812.00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3</xdr:col>
      <xdr:colOff>584582</xdr:colOff>
      <xdr:row>28</xdr:row>
      <xdr:rowOff>49742</xdr:rowOff>
    </xdr:from>
    <xdr:to>
      <xdr:col>4</xdr:col>
      <xdr:colOff>491341</xdr:colOff>
      <xdr:row>29</xdr:row>
      <xdr:rowOff>174638</xdr:rowOff>
    </xdr:to>
    <xdr:sp macro="" textlink="Qrt!G6">
      <xdr:nvSpPr>
        <xdr:cNvPr id="84" name="TextBox 83">
          <a:extLst>
            <a:ext uri="{FF2B5EF4-FFF2-40B4-BE49-F238E27FC236}">
              <a16:creationId xmlns:a16="http://schemas.microsoft.com/office/drawing/2014/main" id="{00000000-0008-0000-0100-000054000000}"/>
            </a:ext>
          </a:extLst>
        </xdr:cNvPr>
        <xdr:cNvSpPr txBox="1"/>
      </xdr:nvSpPr>
      <xdr:spPr>
        <a:xfrm>
          <a:off x="4837398" y="5073626"/>
          <a:ext cx="1032719"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AB7E7EAD-9ECE-42EB-A8DE-2260C6734321}"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74,250.00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3</xdr:col>
      <xdr:colOff>556748</xdr:colOff>
      <xdr:row>35</xdr:row>
      <xdr:rowOff>81174</xdr:rowOff>
    </xdr:from>
    <xdr:to>
      <xdr:col>4</xdr:col>
      <xdr:colOff>503935</xdr:colOff>
      <xdr:row>37</xdr:row>
      <xdr:rowOff>21585</xdr:rowOff>
    </xdr:to>
    <xdr:sp macro="" textlink="Qrt!G12">
      <xdr:nvSpPr>
        <xdr:cNvPr id="85" name="TextBox 84">
          <a:extLst>
            <a:ext uri="{FF2B5EF4-FFF2-40B4-BE49-F238E27FC236}">
              <a16:creationId xmlns:a16="http://schemas.microsoft.com/office/drawing/2014/main" id="{00000000-0008-0000-0100-000055000000}"/>
            </a:ext>
          </a:extLst>
        </xdr:cNvPr>
        <xdr:cNvSpPr txBox="1"/>
      </xdr:nvSpPr>
      <xdr:spPr>
        <a:xfrm>
          <a:off x="4781730" y="6407546"/>
          <a:ext cx="1113575"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5730020C-D11A-436F-BC53-D1E43A84FD0E}"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1,34,528.00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5</xdr:col>
      <xdr:colOff>459141</xdr:colOff>
      <xdr:row>35</xdr:row>
      <xdr:rowOff>41224</xdr:rowOff>
    </xdr:from>
    <xdr:to>
      <xdr:col>6</xdr:col>
      <xdr:colOff>365323</xdr:colOff>
      <xdr:row>36</xdr:row>
      <xdr:rowOff>166119</xdr:rowOff>
    </xdr:to>
    <xdr:sp macro="" textlink="Qrt!G15">
      <xdr:nvSpPr>
        <xdr:cNvPr id="86" name="TextBox 85">
          <a:extLst>
            <a:ext uri="{FF2B5EF4-FFF2-40B4-BE49-F238E27FC236}">
              <a16:creationId xmlns:a16="http://schemas.microsoft.com/office/drawing/2014/main" id="{00000000-0008-0000-0100-000056000000}"/>
            </a:ext>
          </a:extLst>
        </xdr:cNvPr>
        <xdr:cNvSpPr txBox="1"/>
      </xdr:nvSpPr>
      <xdr:spPr>
        <a:xfrm>
          <a:off x="7032003" y="6367596"/>
          <a:ext cx="1031564"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8CF33B9A-112A-47F0-95DC-3CAB6ECB659D}"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74,748.00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3</xdr:col>
      <xdr:colOff>312419</xdr:colOff>
      <xdr:row>22</xdr:row>
      <xdr:rowOff>123003</xdr:rowOff>
    </xdr:from>
    <xdr:to>
      <xdr:col>4</xdr:col>
      <xdr:colOff>164574</xdr:colOff>
      <xdr:row>24</xdr:row>
      <xdr:rowOff>166829</xdr:rowOff>
    </xdr:to>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4278530" y="3952541"/>
          <a:ext cx="922208" cy="4085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65000"/>
                  <a:lumOff val="35000"/>
                </a:schemeClr>
              </a:solidFill>
              <a:latin typeface="Agency FB" panose="020B0503020202020204" pitchFamily="34" charset="0"/>
            </a:rPr>
            <a:t>Savings</a:t>
          </a:r>
          <a:endParaRPr lang="en-IN" sz="1100">
            <a:solidFill>
              <a:schemeClr val="tx1">
                <a:lumMod val="65000"/>
                <a:lumOff val="35000"/>
              </a:schemeClr>
            </a:solidFill>
            <a:latin typeface="Agency FB" panose="020B0503020202020204" pitchFamily="34" charset="0"/>
          </a:endParaRPr>
        </a:p>
      </xdr:txBody>
    </xdr:sp>
    <xdr:clientData/>
  </xdr:twoCellAnchor>
  <xdr:twoCellAnchor editAs="absolute">
    <xdr:from>
      <xdr:col>3</xdr:col>
      <xdr:colOff>335279</xdr:colOff>
      <xdr:row>23</xdr:row>
      <xdr:rowOff>92523</xdr:rowOff>
    </xdr:from>
    <xdr:to>
      <xdr:col>3</xdr:col>
      <xdr:colOff>399035</xdr:colOff>
      <xdr:row>24</xdr:row>
      <xdr:rowOff>40581</xdr:rowOff>
    </xdr:to>
    <xdr:sp macro="" textlink="">
      <xdr:nvSpPr>
        <xdr:cNvPr id="93" name="Flowchart: Connector 92">
          <a:extLst>
            <a:ext uri="{FF2B5EF4-FFF2-40B4-BE49-F238E27FC236}">
              <a16:creationId xmlns:a16="http://schemas.microsoft.com/office/drawing/2014/main" id="{00000000-0008-0000-0100-00005D000000}"/>
            </a:ext>
          </a:extLst>
        </xdr:cNvPr>
        <xdr:cNvSpPr/>
      </xdr:nvSpPr>
      <xdr:spPr>
        <a:xfrm>
          <a:off x="4324250" y="4104420"/>
          <a:ext cx="127512" cy="130417"/>
        </a:xfrm>
        <a:prstGeom prst="flowChartConnector">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534050</xdr:colOff>
      <xdr:row>23</xdr:row>
      <xdr:rowOff>13026</xdr:rowOff>
    </xdr:from>
    <xdr:to>
      <xdr:col>5</xdr:col>
      <xdr:colOff>145536</xdr:colOff>
      <xdr:row>24</xdr:row>
      <xdr:rowOff>133497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5950295" y="4018584"/>
          <a:ext cx="442172" cy="3049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0">
              <a:solidFill>
                <a:schemeClr val="tx1">
                  <a:lumMod val="85000"/>
                  <a:lumOff val="15000"/>
                </a:schemeClr>
              </a:solidFill>
              <a:latin typeface="Agency FB" panose="020B0503020202020204" pitchFamily="34" charset="0"/>
            </a:rPr>
            <a:t>Qtr 1</a:t>
          </a:r>
          <a:endParaRPr lang="en-IN" sz="1100" b="0">
            <a:solidFill>
              <a:schemeClr val="tx1">
                <a:lumMod val="85000"/>
                <a:lumOff val="15000"/>
              </a:schemeClr>
            </a:solidFill>
            <a:latin typeface="Agency FB" panose="020B0503020202020204" pitchFamily="34" charset="0"/>
          </a:endParaRPr>
        </a:p>
      </xdr:txBody>
    </xdr:sp>
    <xdr:clientData/>
  </xdr:twoCellAnchor>
  <xdr:twoCellAnchor editAs="absolute">
    <xdr:from>
      <xdr:col>5</xdr:col>
      <xdr:colOff>217983</xdr:colOff>
      <xdr:row>22</xdr:row>
      <xdr:rowOff>129516</xdr:rowOff>
    </xdr:from>
    <xdr:to>
      <xdr:col>6</xdr:col>
      <xdr:colOff>70138</xdr:colOff>
      <xdr:row>24</xdr:row>
      <xdr:rowOff>173342</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6525453" y="3959054"/>
          <a:ext cx="922208" cy="4085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65000"/>
                  <a:lumOff val="35000"/>
                </a:schemeClr>
              </a:solidFill>
              <a:latin typeface="Agency FB" panose="020B0503020202020204" pitchFamily="34" charset="0"/>
            </a:rPr>
            <a:t>Savings</a:t>
          </a:r>
          <a:endParaRPr lang="en-IN" sz="1100">
            <a:solidFill>
              <a:schemeClr val="tx1">
                <a:lumMod val="65000"/>
                <a:lumOff val="35000"/>
              </a:schemeClr>
            </a:solidFill>
            <a:latin typeface="Agency FB" panose="020B0503020202020204" pitchFamily="34" charset="0"/>
          </a:endParaRPr>
        </a:p>
      </xdr:txBody>
    </xdr:sp>
    <xdr:clientData/>
  </xdr:twoCellAnchor>
  <xdr:twoCellAnchor editAs="absolute">
    <xdr:from>
      <xdr:col>5</xdr:col>
      <xdr:colOff>240843</xdr:colOff>
      <xdr:row>23</xdr:row>
      <xdr:rowOff>99036</xdr:rowOff>
    </xdr:from>
    <xdr:to>
      <xdr:col>5</xdr:col>
      <xdr:colOff>304599</xdr:colOff>
      <xdr:row>24</xdr:row>
      <xdr:rowOff>47094</xdr:rowOff>
    </xdr:to>
    <xdr:sp macro="" textlink="">
      <xdr:nvSpPr>
        <xdr:cNvPr id="96" name="Flowchart: Connector 95">
          <a:extLst>
            <a:ext uri="{FF2B5EF4-FFF2-40B4-BE49-F238E27FC236}">
              <a16:creationId xmlns:a16="http://schemas.microsoft.com/office/drawing/2014/main" id="{00000000-0008-0000-0100-000060000000}"/>
            </a:ext>
          </a:extLst>
        </xdr:cNvPr>
        <xdr:cNvSpPr/>
      </xdr:nvSpPr>
      <xdr:spPr>
        <a:xfrm>
          <a:off x="6571173" y="4110933"/>
          <a:ext cx="127512" cy="130417"/>
        </a:xfrm>
        <a:prstGeom prst="flowChartConnector">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214727</xdr:colOff>
      <xdr:row>29</xdr:row>
      <xdr:rowOff>129515</xdr:rowOff>
    </xdr:from>
    <xdr:to>
      <xdr:col>6</xdr:col>
      <xdr:colOff>66882</xdr:colOff>
      <xdr:row>31</xdr:row>
      <xdr:rowOff>173341</xdr:rowOff>
    </xdr:to>
    <xdr:sp macro="" textlink="">
      <xdr:nvSpPr>
        <xdr:cNvPr id="103" name="Rectangle: Rounded Corners 102">
          <a:extLst>
            <a:ext uri="{FF2B5EF4-FFF2-40B4-BE49-F238E27FC236}">
              <a16:creationId xmlns:a16="http://schemas.microsoft.com/office/drawing/2014/main" id="{00000000-0008-0000-0100-000067000000}"/>
            </a:ext>
          </a:extLst>
        </xdr:cNvPr>
        <xdr:cNvSpPr/>
      </xdr:nvSpPr>
      <xdr:spPr>
        <a:xfrm>
          <a:off x="6518941" y="5235566"/>
          <a:ext cx="922208" cy="4085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65000"/>
                  <a:lumOff val="35000"/>
                </a:schemeClr>
              </a:solidFill>
              <a:latin typeface="Agency FB" panose="020B0503020202020204" pitchFamily="34" charset="0"/>
            </a:rPr>
            <a:t>Savings</a:t>
          </a:r>
          <a:endParaRPr lang="en-IN" sz="1100">
            <a:solidFill>
              <a:schemeClr val="tx1">
                <a:lumMod val="65000"/>
                <a:lumOff val="35000"/>
              </a:schemeClr>
            </a:solidFill>
            <a:latin typeface="Agency FB" panose="020B0503020202020204" pitchFamily="34" charset="0"/>
          </a:endParaRPr>
        </a:p>
      </xdr:txBody>
    </xdr:sp>
    <xdr:clientData/>
  </xdr:twoCellAnchor>
  <xdr:twoCellAnchor editAs="absolute">
    <xdr:from>
      <xdr:col>5</xdr:col>
      <xdr:colOff>237587</xdr:colOff>
      <xdr:row>30</xdr:row>
      <xdr:rowOff>99035</xdr:rowOff>
    </xdr:from>
    <xdr:to>
      <xdr:col>5</xdr:col>
      <xdr:colOff>301343</xdr:colOff>
      <xdr:row>31</xdr:row>
      <xdr:rowOff>47093</xdr:rowOff>
    </xdr:to>
    <xdr:sp macro="" textlink="">
      <xdr:nvSpPr>
        <xdr:cNvPr id="104" name="Flowchart: Connector 103">
          <a:extLst>
            <a:ext uri="{FF2B5EF4-FFF2-40B4-BE49-F238E27FC236}">
              <a16:creationId xmlns:a16="http://schemas.microsoft.com/office/drawing/2014/main" id="{00000000-0008-0000-0100-000068000000}"/>
            </a:ext>
          </a:extLst>
        </xdr:cNvPr>
        <xdr:cNvSpPr/>
      </xdr:nvSpPr>
      <xdr:spPr>
        <a:xfrm>
          <a:off x="6564661" y="5387445"/>
          <a:ext cx="127512" cy="130417"/>
        </a:xfrm>
        <a:prstGeom prst="flowChartConnector">
          <a:avLst/>
        </a:prstGeom>
        <a:solidFill>
          <a:srgbClr val="78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319150</xdr:colOff>
      <xdr:row>29</xdr:row>
      <xdr:rowOff>153487</xdr:rowOff>
    </xdr:from>
    <xdr:to>
      <xdr:col>4</xdr:col>
      <xdr:colOff>171305</xdr:colOff>
      <xdr:row>32</xdr:row>
      <xdr:rowOff>11615</xdr:rowOff>
    </xdr:to>
    <xdr:sp macro="" textlink="">
      <xdr:nvSpPr>
        <xdr:cNvPr id="105" name="Rectangle: Rounded Corners 104">
          <a:extLst>
            <a:ext uri="{FF2B5EF4-FFF2-40B4-BE49-F238E27FC236}">
              <a16:creationId xmlns:a16="http://schemas.microsoft.com/office/drawing/2014/main" id="{00000000-0008-0000-0100-000069000000}"/>
            </a:ext>
          </a:extLst>
        </xdr:cNvPr>
        <xdr:cNvSpPr/>
      </xdr:nvSpPr>
      <xdr:spPr>
        <a:xfrm>
          <a:off x="4288216" y="5353016"/>
          <a:ext cx="920949" cy="41522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65000"/>
                  <a:lumOff val="35000"/>
                </a:schemeClr>
              </a:solidFill>
              <a:latin typeface="Agency FB" panose="020B0503020202020204" pitchFamily="34" charset="0"/>
            </a:rPr>
            <a:t>Savings</a:t>
          </a:r>
          <a:endParaRPr lang="en-IN" sz="1100">
            <a:solidFill>
              <a:schemeClr val="tx1">
                <a:lumMod val="65000"/>
                <a:lumOff val="35000"/>
              </a:schemeClr>
            </a:solidFill>
            <a:latin typeface="Agency FB" panose="020B0503020202020204" pitchFamily="34" charset="0"/>
          </a:endParaRPr>
        </a:p>
      </xdr:txBody>
    </xdr:sp>
    <xdr:clientData/>
  </xdr:twoCellAnchor>
  <xdr:twoCellAnchor editAs="absolute">
    <xdr:from>
      <xdr:col>3</xdr:col>
      <xdr:colOff>351615</xdr:colOff>
      <xdr:row>30</xdr:row>
      <xdr:rowOff>123007</xdr:rowOff>
    </xdr:from>
    <xdr:to>
      <xdr:col>3</xdr:col>
      <xdr:colOff>415371</xdr:colOff>
      <xdr:row>31</xdr:row>
      <xdr:rowOff>67727</xdr:rowOff>
    </xdr:to>
    <xdr:sp macro="" textlink="">
      <xdr:nvSpPr>
        <xdr:cNvPr id="106" name="Flowchart: Connector 105">
          <a:extLst>
            <a:ext uri="{FF2B5EF4-FFF2-40B4-BE49-F238E27FC236}">
              <a16:creationId xmlns:a16="http://schemas.microsoft.com/office/drawing/2014/main" id="{00000000-0008-0000-0100-00006A000000}"/>
            </a:ext>
          </a:extLst>
        </xdr:cNvPr>
        <xdr:cNvSpPr/>
      </xdr:nvSpPr>
      <xdr:spPr>
        <a:xfrm>
          <a:off x="4353147" y="5508234"/>
          <a:ext cx="127512" cy="130417"/>
        </a:xfrm>
        <a:prstGeom prst="flowChartConnector">
          <a:avLst/>
        </a:prstGeom>
        <a:solidFill>
          <a:srgbClr val="669BB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379384</xdr:colOff>
      <xdr:row>23</xdr:row>
      <xdr:rowOff>12335</xdr:rowOff>
    </xdr:from>
    <xdr:to>
      <xdr:col>7</xdr:col>
      <xdr:colOff>25206</xdr:colOff>
      <xdr:row>24</xdr:row>
      <xdr:rowOff>132806</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8082061" y="4017893"/>
          <a:ext cx="510845" cy="3049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0">
              <a:solidFill>
                <a:schemeClr val="tx1">
                  <a:lumMod val="85000"/>
                  <a:lumOff val="15000"/>
                </a:schemeClr>
              </a:solidFill>
              <a:latin typeface="Agency FB" panose="020B0503020202020204" pitchFamily="34" charset="0"/>
            </a:rPr>
            <a:t> Qtr 2</a:t>
          </a:r>
          <a:endParaRPr lang="en-IN" sz="1100" b="0">
            <a:solidFill>
              <a:schemeClr val="tx1">
                <a:lumMod val="85000"/>
                <a:lumOff val="15000"/>
              </a:schemeClr>
            </a:solidFill>
            <a:latin typeface="Agency FB" panose="020B0503020202020204" pitchFamily="34" charset="0"/>
          </a:endParaRPr>
        </a:p>
      </xdr:txBody>
    </xdr:sp>
    <xdr:clientData/>
  </xdr:twoCellAnchor>
  <xdr:twoCellAnchor editAs="absolute">
    <xdr:from>
      <xdr:col>6</xdr:col>
      <xdr:colOff>396357</xdr:colOff>
      <xdr:row>30</xdr:row>
      <xdr:rowOff>6051</xdr:rowOff>
    </xdr:from>
    <xdr:to>
      <xdr:col>7</xdr:col>
      <xdr:colOff>23969</xdr:colOff>
      <xdr:row>31</xdr:row>
      <xdr:rowOff>126521</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8116007" y="5286104"/>
          <a:ext cx="474425" cy="3049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0">
              <a:solidFill>
                <a:schemeClr val="tx1">
                  <a:lumMod val="85000"/>
                  <a:lumOff val="15000"/>
                </a:schemeClr>
              </a:solidFill>
              <a:latin typeface="Agency FB" panose="020B0503020202020204" pitchFamily="34" charset="0"/>
            </a:rPr>
            <a:t>Qtr 4</a:t>
          </a:r>
          <a:endParaRPr lang="en-IN" sz="1100" b="0">
            <a:solidFill>
              <a:schemeClr val="tx1">
                <a:lumMod val="85000"/>
                <a:lumOff val="15000"/>
              </a:schemeClr>
            </a:solidFill>
            <a:latin typeface="Agency FB" panose="020B0503020202020204" pitchFamily="34" charset="0"/>
          </a:endParaRPr>
        </a:p>
      </xdr:txBody>
    </xdr:sp>
    <xdr:clientData/>
  </xdr:twoCellAnchor>
  <xdr:twoCellAnchor editAs="absolute">
    <xdr:from>
      <xdr:col>4</xdr:col>
      <xdr:colOff>516844</xdr:colOff>
      <xdr:row>30</xdr:row>
      <xdr:rowOff>31873</xdr:rowOff>
    </xdr:from>
    <xdr:to>
      <xdr:col>5</xdr:col>
      <xdr:colOff>147951</xdr:colOff>
      <xdr:row>31</xdr:row>
      <xdr:rowOff>152343</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5915884" y="5311926"/>
          <a:ext cx="481414" cy="3049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0">
              <a:solidFill>
                <a:schemeClr val="tx1">
                  <a:lumMod val="85000"/>
                  <a:lumOff val="15000"/>
                </a:schemeClr>
              </a:solidFill>
              <a:latin typeface="Agency FB" panose="020B0503020202020204" pitchFamily="34" charset="0"/>
            </a:rPr>
            <a:t>Qtr 3</a:t>
          </a:r>
          <a:endParaRPr lang="en-IN" sz="1100" b="0">
            <a:solidFill>
              <a:schemeClr val="tx1">
                <a:lumMod val="85000"/>
                <a:lumOff val="15000"/>
              </a:schemeClr>
            </a:solidFill>
            <a:latin typeface="Agency FB" panose="020B0503020202020204" pitchFamily="34" charset="0"/>
          </a:endParaRPr>
        </a:p>
      </xdr:txBody>
    </xdr:sp>
    <xdr:clientData/>
  </xdr:twoCellAnchor>
  <xdr:twoCellAnchor editAs="absolute">
    <xdr:from>
      <xdr:col>4</xdr:col>
      <xdr:colOff>28708</xdr:colOff>
      <xdr:row>21</xdr:row>
      <xdr:rowOff>36158</xdr:rowOff>
    </xdr:from>
    <xdr:to>
      <xdr:col>4</xdr:col>
      <xdr:colOff>589086</xdr:colOff>
      <xdr:row>22</xdr:row>
      <xdr:rowOff>161053</xdr:rowOff>
    </xdr:to>
    <xdr:sp macro="" textlink="Year!C10">
      <xdr:nvSpPr>
        <xdr:cNvPr id="113" name="TextBox 112">
          <a:extLst>
            <a:ext uri="{FF2B5EF4-FFF2-40B4-BE49-F238E27FC236}">
              <a16:creationId xmlns:a16="http://schemas.microsoft.com/office/drawing/2014/main" id="{00000000-0008-0000-0100-000071000000}"/>
            </a:ext>
          </a:extLst>
        </xdr:cNvPr>
        <xdr:cNvSpPr txBox="1"/>
      </xdr:nvSpPr>
      <xdr:spPr>
        <a:xfrm>
          <a:off x="4948393" y="3757553"/>
          <a:ext cx="1120756"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3D302F00-E290-4B3B-AE2B-4B580516F387}"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3,51,088.00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5</xdr:col>
      <xdr:colOff>454218</xdr:colOff>
      <xdr:row>21</xdr:row>
      <xdr:rowOff>38485</xdr:rowOff>
    </xdr:from>
    <xdr:to>
      <xdr:col>6</xdr:col>
      <xdr:colOff>360977</xdr:colOff>
      <xdr:row>22</xdr:row>
      <xdr:rowOff>163380</xdr:rowOff>
    </xdr:to>
    <xdr:sp macro="" textlink="Year!C11">
      <xdr:nvSpPr>
        <xdr:cNvPr id="114" name="TextBox 113">
          <a:extLst>
            <a:ext uri="{FF2B5EF4-FFF2-40B4-BE49-F238E27FC236}">
              <a16:creationId xmlns:a16="http://schemas.microsoft.com/office/drawing/2014/main" id="{00000000-0008-0000-0100-000072000000}"/>
            </a:ext>
          </a:extLst>
        </xdr:cNvPr>
        <xdr:cNvSpPr txBox="1"/>
      </xdr:nvSpPr>
      <xdr:spPr>
        <a:xfrm>
          <a:off x="7022157" y="3759880"/>
          <a:ext cx="1032719" cy="309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5F900AB5-7E9C-4F3C-B753-5D8D448760D1}"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 ₹ 74,250.00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7</xdr:col>
      <xdr:colOff>218861</xdr:colOff>
      <xdr:row>13</xdr:row>
      <xdr:rowOff>178926</xdr:rowOff>
    </xdr:from>
    <xdr:to>
      <xdr:col>9</xdr:col>
      <xdr:colOff>5035</xdr:colOff>
      <xdr:row>17</xdr:row>
      <xdr:rowOff>6475</xdr:rowOff>
    </xdr:to>
    <xdr:sp macro="" textlink="'item purchased order'!K3">
      <xdr:nvSpPr>
        <xdr:cNvPr id="115" name="Rectangle: Rounded Corners 114">
          <a:extLst>
            <a:ext uri="{FF2B5EF4-FFF2-40B4-BE49-F238E27FC236}">
              <a16:creationId xmlns:a16="http://schemas.microsoft.com/office/drawing/2014/main" id="{00000000-0008-0000-0100-000073000000}"/>
            </a:ext>
          </a:extLst>
        </xdr:cNvPr>
        <xdr:cNvSpPr/>
      </xdr:nvSpPr>
      <xdr:spPr>
        <a:xfrm>
          <a:off x="8972122" y="2373486"/>
          <a:ext cx="2010748" cy="55906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997BCED-4E79-4E2C-B8C1-ABEE3226BB31}" type="TxLink">
            <a:rPr lang="en-US" sz="1800" b="0" i="0" u="none" strike="noStrike">
              <a:solidFill>
                <a:schemeClr val="bg2">
                  <a:lumMod val="25000"/>
                </a:schemeClr>
              </a:solidFill>
              <a:latin typeface="Agency FB" panose="020B0503020202020204" pitchFamily="34" charset="0"/>
              <a:ea typeface="Calibri"/>
              <a:cs typeface="Calibri"/>
            </a:rPr>
            <a:pPr marL="0" indent="0" algn="ctr"/>
            <a:t> item pruchase order </a:t>
          </a:fld>
          <a:endParaRPr lang="en-IN" sz="1800" b="0" i="0" u="none" strike="noStrike">
            <a:solidFill>
              <a:schemeClr val="bg2">
                <a:lumMod val="25000"/>
              </a:schemeClr>
            </a:solidFill>
            <a:latin typeface="Agency FB" panose="020B0503020202020204" pitchFamily="34" charset="0"/>
            <a:ea typeface="Calibri"/>
            <a:cs typeface="Calibri"/>
          </a:endParaRPr>
        </a:p>
      </xdr:txBody>
    </xdr:sp>
    <xdr:clientData/>
  </xdr:twoCellAnchor>
  <xdr:twoCellAnchor editAs="absolute">
    <xdr:from>
      <xdr:col>8</xdr:col>
      <xdr:colOff>459269</xdr:colOff>
      <xdr:row>5</xdr:row>
      <xdr:rowOff>92082</xdr:rowOff>
    </xdr:from>
    <xdr:to>
      <xdr:col>10</xdr:col>
      <xdr:colOff>158069</xdr:colOff>
      <xdr:row>13</xdr:row>
      <xdr:rowOff>177042</xdr:rowOff>
    </xdr:to>
    <xdr:grpSp>
      <xdr:nvGrpSpPr>
        <xdr:cNvPr id="69" name="Group 68">
          <a:extLst>
            <a:ext uri="{FF2B5EF4-FFF2-40B4-BE49-F238E27FC236}">
              <a16:creationId xmlns:a16="http://schemas.microsoft.com/office/drawing/2014/main" id="{00000000-0008-0000-0100-000045000000}"/>
            </a:ext>
          </a:extLst>
        </xdr:cNvPr>
        <xdr:cNvGrpSpPr/>
      </xdr:nvGrpSpPr>
      <xdr:grpSpPr>
        <a:xfrm>
          <a:off x="10672138" y="1014503"/>
          <a:ext cx="1836000" cy="1560834"/>
          <a:chOff x="10550038" y="808665"/>
          <a:chExt cx="1831274" cy="1549890"/>
        </a:xfrm>
      </xdr:grpSpPr>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10550038" y="808665"/>
            <a:ext cx="1831274" cy="154989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PO Value'!E3">
        <xdr:nvSpPr>
          <xdr:cNvPr id="3073" name="Text Box 1">
            <a:extLst>
              <a:ext uri="{FF2B5EF4-FFF2-40B4-BE49-F238E27FC236}">
                <a16:creationId xmlns:a16="http://schemas.microsoft.com/office/drawing/2014/main" id="{00000000-0008-0000-0100-0000010C0000}"/>
              </a:ext>
            </a:extLst>
          </xdr:cNvPr>
          <xdr:cNvSpPr txBox="1">
            <a:spLocks noChangeArrowheads="1"/>
          </xdr:cNvSpPr>
        </xdr:nvSpPr>
        <xdr:spPr bwMode="auto">
          <a:xfrm flipH="1">
            <a:off x="10843866" y="1111528"/>
            <a:ext cx="1225469" cy="19178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defRPr sz="1000"/>
            </a:pPr>
            <a:fld id="{43203B06-A79B-4377-A802-84B5E9CC28F8}" type="TxLink">
              <a:rPr lang="en-US" sz="1800" b="0" i="0" u="none" strike="noStrike">
                <a:solidFill>
                  <a:schemeClr val="bg2">
                    <a:lumMod val="25000"/>
                  </a:schemeClr>
                </a:solidFill>
                <a:latin typeface="Agency FB" panose="020B0503020202020204" pitchFamily="34" charset="0"/>
                <a:ea typeface="Calibri"/>
                <a:cs typeface="Calibri"/>
              </a:rPr>
              <a:pPr marL="0" indent="0" algn="ctr" rtl="0">
                <a:defRPr sz="1000"/>
              </a:pPr>
              <a:t>PO Value</a:t>
            </a:fld>
            <a:endParaRPr lang="en-IN" sz="1800" b="0" i="0" u="none" strike="noStrike">
              <a:solidFill>
                <a:schemeClr val="bg2">
                  <a:lumMod val="25000"/>
                </a:schemeClr>
              </a:solidFill>
              <a:latin typeface="Agency FB" panose="020B0503020202020204" pitchFamily="34" charset="0"/>
              <a:ea typeface="Calibri"/>
              <a:cs typeface="Calibri"/>
            </a:endParaRPr>
          </a:p>
        </xdr:txBody>
      </xdr:sp>
      <xdr:sp macro="" textlink="'PO Value'!E16">
        <xdr:nvSpPr>
          <xdr:cNvPr id="119" name="TextBox 118">
            <a:extLst>
              <a:ext uri="{FF2B5EF4-FFF2-40B4-BE49-F238E27FC236}">
                <a16:creationId xmlns:a16="http://schemas.microsoft.com/office/drawing/2014/main" id="{00000000-0008-0000-0100-000077000000}"/>
              </a:ext>
            </a:extLst>
          </xdr:cNvPr>
          <xdr:cNvSpPr txBox="1"/>
        </xdr:nvSpPr>
        <xdr:spPr>
          <a:xfrm>
            <a:off x="10857034" y="1489031"/>
            <a:ext cx="1207205" cy="3404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9050A66-5FF8-4CB5-A8AC-2C5119620CCD}" type="TxLink">
              <a:rPr lang="en-US" sz="1600" b="1" i="0" u="none" strike="noStrike">
                <a:solidFill>
                  <a:schemeClr val="tx1">
                    <a:lumMod val="85000"/>
                    <a:lumOff val="15000"/>
                  </a:schemeClr>
                </a:solidFill>
                <a:latin typeface="Agency FB" panose="020B0503020202020204" pitchFamily="34" charset="0"/>
                <a:ea typeface="Calibri"/>
                <a:cs typeface="Calibri"/>
              </a:rPr>
              <a:pPr marL="0" indent="0"/>
              <a:t> ₹ 65,47,698 </a:t>
            </a:fld>
            <a:endParaRPr lang="en-IN" sz="1600" b="1" i="0" u="none" strike="noStrike">
              <a:solidFill>
                <a:schemeClr val="tx1">
                  <a:lumMod val="85000"/>
                  <a:lumOff val="15000"/>
                </a:schemeClr>
              </a:solidFill>
              <a:latin typeface="Agency FB" panose="020B0503020202020204" pitchFamily="34" charset="0"/>
              <a:ea typeface="Calibri"/>
              <a:cs typeface="Calibri"/>
            </a:endParaRPr>
          </a:p>
        </xdr:txBody>
      </xdr:sp>
    </xdr:grpSp>
    <xdr:clientData/>
  </xdr:twoCellAnchor>
  <xdr:twoCellAnchor editAs="absolute">
    <xdr:from>
      <xdr:col>10</xdr:col>
      <xdr:colOff>198498</xdr:colOff>
      <xdr:row>5</xdr:row>
      <xdr:rowOff>98574</xdr:rowOff>
    </xdr:from>
    <xdr:to>
      <xdr:col>11</xdr:col>
      <xdr:colOff>506898</xdr:colOff>
      <xdr:row>14</xdr:row>
      <xdr:rowOff>654</xdr:rowOff>
    </xdr:to>
    <xdr:grpSp>
      <xdr:nvGrpSpPr>
        <xdr:cNvPr id="68" name="Group 67">
          <a:extLst>
            <a:ext uri="{FF2B5EF4-FFF2-40B4-BE49-F238E27FC236}">
              <a16:creationId xmlns:a16="http://schemas.microsoft.com/office/drawing/2014/main" id="{00000000-0008-0000-0100-000044000000}"/>
            </a:ext>
          </a:extLst>
        </xdr:cNvPr>
        <xdr:cNvGrpSpPr/>
      </xdr:nvGrpSpPr>
      <xdr:grpSpPr>
        <a:xfrm>
          <a:off x="12588996" y="1020995"/>
          <a:ext cx="1836000" cy="1562438"/>
          <a:chOff x="12468092" y="839145"/>
          <a:chExt cx="1833637" cy="1550127"/>
        </a:xfrm>
      </xdr:grpSpPr>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12468092" y="839145"/>
            <a:ext cx="1833637" cy="155012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Amount Saved'!E3">
        <xdr:nvSpPr>
          <xdr:cNvPr id="118" name="Text Box 1">
            <a:extLst>
              <a:ext uri="{FF2B5EF4-FFF2-40B4-BE49-F238E27FC236}">
                <a16:creationId xmlns:a16="http://schemas.microsoft.com/office/drawing/2014/main" id="{00000000-0008-0000-0100-000076000000}"/>
              </a:ext>
            </a:extLst>
          </xdr:cNvPr>
          <xdr:cNvSpPr txBox="1">
            <a:spLocks noChangeArrowheads="1"/>
          </xdr:cNvSpPr>
        </xdr:nvSpPr>
        <xdr:spPr bwMode="auto">
          <a:xfrm flipH="1">
            <a:off x="12672328" y="1145610"/>
            <a:ext cx="1384961" cy="18311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defRPr sz="1000"/>
            </a:pPr>
            <a:fld id="{E939C702-7AA1-4537-A686-69A97DC6BE0D}" type="TxLink">
              <a:rPr lang="en-US" sz="1800" b="0" i="0" u="none" strike="noStrike">
                <a:solidFill>
                  <a:schemeClr val="bg2">
                    <a:lumMod val="25000"/>
                  </a:schemeClr>
                </a:solidFill>
                <a:latin typeface="Agency FB" panose="020B0503020202020204" pitchFamily="34" charset="0"/>
                <a:ea typeface="Calibri"/>
                <a:cs typeface="Calibri"/>
              </a:rPr>
              <a:pPr marL="0" indent="0" algn="ctr" rtl="0">
                <a:defRPr sz="1000"/>
              </a:pPr>
              <a:t>Amount Saved</a:t>
            </a:fld>
            <a:endParaRPr lang="en-IN" sz="1800" b="0" i="0" u="none" strike="noStrike">
              <a:solidFill>
                <a:schemeClr val="bg2">
                  <a:lumMod val="25000"/>
                </a:schemeClr>
              </a:solidFill>
              <a:latin typeface="Agency FB" panose="020B0503020202020204" pitchFamily="34" charset="0"/>
              <a:ea typeface="Calibri"/>
              <a:cs typeface="Calibri"/>
            </a:endParaRPr>
          </a:p>
        </xdr:txBody>
      </xdr:sp>
      <xdr:sp macro="" textlink="'Amount Saved'!E16">
        <xdr:nvSpPr>
          <xdr:cNvPr id="120" name="TextBox 119">
            <a:extLst>
              <a:ext uri="{FF2B5EF4-FFF2-40B4-BE49-F238E27FC236}">
                <a16:creationId xmlns:a16="http://schemas.microsoft.com/office/drawing/2014/main" id="{00000000-0008-0000-0100-000078000000}"/>
              </a:ext>
            </a:extLst>
          </xdr:cNvPr>
          <xdr:cNvSpPr txBox="1"/>
        </xdr:nvSpPr>
        <xdr:spPr>
          <a:xfrm>
            <a:off x="12840114" y="1492107"/>
            <a:ext cx="1026762" cy="34041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6F12B1B-4F1F-4FCD-B406-907E89F6B7E5}" type="TxLink">
              <a:rPr lang="en-US" sz="1600" b="1" i="0" u="none" strike="noStrike">
                <a:solidFill>
                  <a:schemeClr val="tx1">
                    <a:lumMod val="85000"/>
                    <a:lumOff val="15000"/>
                  </a:schemeClr>
                </a:solidFill>
                <a:latin typeface="Agency FB" panose="020B0503020202020204" pitchFamily="34" charset="0"/>
                <a:ea typeface="Calibri"/>
                <a:cs typeface="Calibri"/>
              </a:rPr>
              <a:pPr marL="0" indent="0"/>
              <a:t> ₹ 4,25,338 </a:t>
            </a:fld>
            <a:endParaRPr lang="en-IN" sz="1600" b="1" i="0" u="none" strike="noStrike">
              <a:solidFill>
                <a:schemeClr val="tx1">
                  <a:lumMod val="85000"/>
                  <a:lumOff val="15000"/>
                </a:schemeClr>
              </a:solidFill>
              <a:latin typeface="Agency FB" panose="020B0503020202020204" pitchFamily="34" charset="0"/>
              <a:ea typeface="Calibri"/>
              <a:cs typeface="Calibri"/>
            </a:endParaRPr>
          </a:p>
        </xdr:txBody>
      </xdr:sp>
    </xdr:grpSp>
    <xdr:clientData/>
  </xdr:twoCellAnchor>
  <xdr:twoCellAnchor editAs="absolute">
    <xdr:from>
      <xdr:col>7</xdr:col>
      <xdr:colOff>74175</xdr:colOff>
      <xdr:row>17</xdr:row>
      <xdr:rowOff>134866</xdr:rowOff>
    </xdr:from>
    <xdr:to>
      <xdr:col>9</xdr:col>
      <xdr:colOff>161840</xdr:colOff>
      <xdr:row>36</xdr:row>
      <xdr:rowOff>74176</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151726</xdr:colOff>
      <xdr:row>18</xdr:row>
      <xdr:rowOff>47203</xdr:rowOff>
    </xdr:from>
    <xdr:to>
      <xdr:col>9</xdr:col>
      <xdr:colOff>133853</xdr:colOff>
      <xdr:row>35</xdr:row>
      <xdr:rowOff>142958</xdr:rowOff>
    </xdr:to>
    <xdr:grpSp>
      <xdr:nvGrpSpPr>
        <xdr:cNvPr id="125" name="Group 124">
          <a:extLst>
            <a:ext uri="{FF2B5EF4-FFF2-40B4-BE49-F238E27FC236}">
              <a16:creationId xmlns:a16="http://schemas.microsoft.com/office/drawing/2014/main" id="{00000000-0008-0000-0100-00007D000000}"/>
            </a:ext>
          </a:extLst>
        </xdr:cNvPr>
        <xdr:cNvGrpSpPr/>
      </xdr:nvGrpSpPr>
      <xdr:grpSpPr>
        <a:xfrm>
          <a:off x="10057052" y="3367919"/>
          <a:ext cx="1183454" cy="3231986"/>
          <a:chOff x="10066964" y="3154057"/>
          <a:chExt cx="1184693" cy="3202608"/>
        </a:xfrm>
      </xdr:grpSpPr>
      <xdr:sp macro="" textlink="'item purchased order'!$J$4">
        <xdr:nvSpPr>
          <xdr:cNvPr id="29" name="TextBox 28">
            <a:extLst>
              <a:ext uri="{FF2B5EF4-FFF2-40B4-BE49-F238E27FC236}">
                <a16:creationId xmlns:a16="http://schemas.microsoft.com/office/drawing/2014/main" id="{00000000-0008-0000-0100-00001D000000}"/>
              </a:ext>
            </a:extLst>
          </xdr:cNvPr>
          <xdr:cNvSpPr txBox="1"/>
        </xdr:nvSpPr>
        <xdr:spPr>
          <a:xfrm>
            <a:off x="10287460" y="3154057"/>
            <a:ext cx="964195" cy="256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fld id="{2859E875-EC16-4964-9A90-D0EFE82CB161}" type="TxLink">
              <a:rPr lang="en-US" sz="1200" b="0" i="0" u="none" strike="noStrike">
                <a:solidFill>
                  <a:srgbClr val="000000"/>
                </a:solidFill>
                <a:latin typeface="Agency FB" panose="020B0503020202020204" pitchFamily="34" charset="0"/>
                <a:ea typeface="Calibri"/>
                <a:cs typeface="Calibri"/>
              </a:rPr>
              <a:pPr algn="r"/>
              <a:t>Memory Card</a:t>
            </a:fld>
            <a:endParaRPr lang="en-IN" sz="1200">
              <a:latin typeface="Agency FB" panose="020B0503020202020204" pitchFamily="34" charset="0"/>
            </a:endParaRPr>
          </a:p>
        </xdr:txBody>
      </xdr:sp>
      <xdr:sp macro="" textlink="'item purchased order'!$J$5">
        <xdr:nvSpPr>
          <xdr:cNvPr id="31" name="TextBox 30">
            <a:extLst>
              <a:ext uri="{FF2B5EF4-FFF2-40B4-BE49-F238E27FC236}">
                <a16:creationId xmlns:a16="http://schemas.microsoft.com/office/drawing/2014/main" id="{00000000-0008-0000-0100-00001F000000}"/>
              </a:ext>
            </a:extLst>
          </xdr:cNvPr>
          <xdr:cNvSpPr txBox="1"/>
        </xdr:nvSpPr>
        <xdr:spPr>
          <a:xfrm>
            <a:off x="10287460" y="3367834"/>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83C3C6C0-F664-4324-A956-3A2082AF92A8}" type="TxLink">
              <a:rPr lang="en-US" sz="1200" b="0" i="0" u="none" strike="noStrike">
                <a:solidFill>
                  <a:srgbClr val="000000"/>
                </a:solidFill>
                <a:latin typeface="Agency FB" panose="020B0503020202020204" pitchFamily="34" charset="0"/>
                <a:ea typeface="Calibri"/>
                <a:cs typeface="Calibri"/>
              </a:rPr>
              <a:pPr marL="0" indent="0" algn="r"/>
              <a:t>Ceiling Fan</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7">
        <xdr:nvSpPr>
          <xdr:cNvPr id="32" name="TextBox 31">
            <a:extLst>
              <a:ext uri="{FF2B5EF4-FFF2-40B4-BE49-F238E27FC236}">
                <a16:creationId xmlns:a16="http://schemas.microsoft.com/office/drawing/2014/main" id="{00000000-0008-0000-0100-000020000000}"/>
              </a:ext>
            </a:extLst>
          </xdr:cNvPr>
          <xdr:cNvSpPr txBox="1"/>
        </xdr:nvSpPr>
        <xdr:spPr>
          <a:xfrm>
            <a:off x="10287460" y="3784594"/>
            <a:ext cx="964195" cy="257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337AD206-DC51-4E4E-B9E3-649C35AA6CF7}" type="TxLink">
              <a:rPr lang="en-US" sz="1200" b="0" i="0" u="none" strike="noStrike">
                <a:solidFill>
                  <a:srgbClr val="000000"/>
                </a:solidFill>
                <a:latin typeface="Agency FB" panose="020B0503020202020204" pitchFamily="34" charset="0"/>
                <a:ea typeface="Calibri"/>
                <a:cs typeface="Calibri"/>
              </a:rPr>
              <a:pPr marL="0" indent="0" algn="r"/>
              <a:t>Geyser</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6">
        <xdr:nvSpPr>
          <xdr:cNvPr id="40" name="TextBox 39">
            <a:extLst>
              <a:ext uri="{FF2B5EF4-FFF2-40B4-BE49-F238E27FC236}">
                <a16:creationId xmlns:a16="http://schemas.microsoft.com/office/drawing/2014/main" id="{00000000-0008-0000-0100-000028000000}"/>
              </a:ext>
            </a:extLst>
          </xdr:cNvPr>
          <xdr:cNvSpPr txBox="1"/>
        </xdr:nvSpPr>
        <xdr:spPr>
          <a:xfrm>
            <a:off x="10287460" y="3578912"/>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BCD97DA4-FD77-41AB-A57C-D37AEE1DEC85}" type="TxLink">
              <a:rPr lang="en-US" sz="1200" b="0" i="0" u="none" strike="noStrike">
                <a:solidFill>
                  <a:srgbClr val="000000"/>
                </a:solidFill>
                <a:latin typeface="Agency FB" panose="020B0503020202020204" pitchFamily="34" charset="0"/>
                <a:ea typeface="Calibri"/>
                <a:cs typeface="Calibri"/>
              </a:rPr>
              <a:pPr marL="0" indent="0" algn="r"/>
              <a:t>Laptop</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9">
        <xdr:nvSpPr>
          <xdr:cNvPr id="41" name="TextBox 40">
            <a:extLst>
              <a:ext uri="{FF2B5EF4-FFF2-40B4-BE49-F238E27FC236}">
                <a16:creationId xmlns:a16="http://schemas.microsoft.com/office/drawing/2014/main" id="{00000000-0008-0000-0100-000029000000}"/>
              </a:ext>
            </a:extLst>
          </xdr:cNvPr>
          <xdr:cNvSpPr txBox="1"/>
        </xdr:nvSpPr>
        <xdr:spPr>
          <a:xfrm>
            <a:off x="10287460" y="4206088"/>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68991783-2D5E-4A5E-B307-45D22EEBFFDD}" type="TxLink">
              <a:rPr lang="en-US" sz="1200" b="0" i="0" u="none" strike="noStrike">
                <a:solidFill>
                  <a:srgbClr val="000000"/>
                </a:solidFill>
                <a:latin typeface="Agency FB" panose="020B0503020202020204" pitchFamily="34" charset="0"/>
                <a:ea typeface="Calibri"/>
                <a:cs typeface="Calibri"/>
              </a:rPr>
              <a:pPr marL="0" indent="0" algn="r"/>
              <a:t>JK Paper</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8">
        <xdr:nvSpPr>
          <xdr:cNvPr id="42" name="TextBox 41">
            <a:extLst>
              <a:ext uri="{FF2B5EF4-FFF2-40B4-BE49-F238E27FC236}">
                <a16:creationId xmlns:a16="http://schemas.microsoft.com/office/drawing/2014/main" id="{00000000-0008-0000-0100-00002A000000}"/>
              </a:ext>
            </a:extLst>
          </xdr:cNvPr>
          <xdr:cNvSpPr txBox="1"/>
        </xdr:nvSpPr>
        <xdr:spPr>
          <a:xfrm>
            <a:off x="10287460" y="3972746"/>
            <a:ext cx="964197" cy="257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4D58EB59-773F-486B-9726-DA02D7D69917}" type="TxLink">
              <a:rPr lang="en-US" sz="1200" b="0" i="0" u="none" strike="noStrike">
                <a:solidFill>
                  <a:srgbClr val="000000"/>
                </a:solidFill>
                <a:latin typeface="Agency FB" panose="020B0503020202020204" pitchFamily="34" charset="0"/>
                <a:ea typeface="Calibri"/>
                <a:cs typeface="Calibri"/>
              </a:rPr>
              <a:pPr marL="0" indent="0" algn="r"/>
              <a:t>Water Bottle</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0">
        <xdr:nvSpPr>
          <xdr:cNvPr id="43" name="TextBox 42">
            <a:extLst>
              <a:ext uri="{FF2B5EF4-FFF2-40B4-BE49-F238E27FC236}">
                <a16:creationId xmlns:a16="http://schemas.microsoft.com/office/drawing/2014/main" id="{00000000-0008-0000-0100-00002B000000}"/>
              </a:ext>
            </a:extLst>
          </xdr:cNvPr>
          <xdr:cNvSpPr txBox="1"/>
        </xdr:nvSpPr>
        <xdr:spPr>
          <a:xfrm>
            <a:off x="10287460" y="4417165"/>
            <a:ext cx="964197"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DDA14A6F-03F9-4FE6-804F-399E38517B6E}" type="TxLink">
              <a:rPr lang="en-US" sz="1200" b="0" i="0" u="none" strike="noStrike">
                <a:solidFill>
                  <a:srgbClr val="000000"/>
                </a:solidFill>
                <a:latin typeface="Agency FB" panose="020B0503020202020204" pitchFamily="34" charset="0"/>
                <a:ea typeface="Calibri"/>
                <a:cs typeface="Calibri"/>
              </a:rPr>
              <a:pPr marL="0" indent="0" algn="r"/>
              <a:t>LED Light</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1">
        <xdr:nvSpPr>
          <xdr:cNvPr id="44" name="TextBox 43">
            <a:extLst>
              <a:ext uri="{FF2B5EF4-FFF2-40B4-BE49-F238E27FC236}">
                <a16:creationId xmlns:a16="http://schemas.microsoft.com/office/drawing/2014/main" id="{00000000-0008-0000-0100-00002C000000}"/>
              </a:ext>
            </a:extLst>
          </xdr:cNvPr>
          <xdr:cNvSpPr txBox="1"/>
        </xdr:nvSpPr>
        <xdr:spPr>
          <a:xfrm>
            <a:off x="10287460" y="4651171"/>
            <a:ext cx="964195" cy="256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A2939EC8-A63A-4BA4-885C-063318797104}" type="TxLink">
              <a:rPr lang="en-US" sz="1200" b="0" i="0" u="none" strike="noStrike">
                <a:solidFill>
                  <a:srgbClr val="000000"/>
                </a:solidFill>
                <a:latin typeface="Agency FB" panose="020B0503020202020204" pitchFamily="34" charset="0"/>
                <a:ea typeface="Calibri"/>
                <a:cs typeface="Calibri"/>
              </a:rPr>
              <a:pPr marL="0" indent="0" algn="r"/>
              <a:t>Table </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2">
        <xdr:nvSpPr>
          <xdr:cNvPr id="45" name="TextBox 44">
            <a:extLst>
              <a:ext uri="{FF2B5EF4-FFF2-40B4-BE49-F238E27FC236}">
                <a16:creationId xmlns:a16="http://schemas.microsoft.com/office/drawing/2014/main" id="{00000000-0008-0000-0100-00002D000000}"/>
              </a:ext>
            </a:extLst>
          </xdr:cNvPr>
          <xdr:cNvSpPr txBox="1"/>
        </xdr:nvSpPr>
        <xdr:spPr>
          <a:xfrm>
            <a:off x="10287460" y="4878434"/>
            <a:ext cx="964195" cy="257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F84B9521-0B21-4A23-A33F-6059D4544576}" type="TxLink">
              <a:rPr lang="en-US" sz="1200" b="0" i="0" u="none" strike="noStrike">
                <a:solidFill>
                  <a:srgbClr val="000000"/>
                </a:solidFill>
                <a:latin typeface="Agency FB" panose="020B0503020202020204" pitchFamily="34" charset="0"/>
                <a:ea typeface="Calibri"/>
                <a:cs typeface="Calibri"/>
              </a:rPr>
              <a:pPr marL="0" indent="0" algn="r"/>
              <a:t>Exhaust Fan</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3">
        <xdr:nvSpPr>
          <xdr:cNvPr id="46" name="TextBox 45">
            <a:extLst>
              <a:ext uri="{FF2B5EF4-FFF2-40B4-BE49-F238E27FC236}">
                <a16:creationId xmlns:a16="http://schemas.microsoft.com/office/drawing/2014/main" id="{00000000-0008-0000-0100-00002E000000}"/>
              </a:ext>
            </a:extLst>
          </xdr:cNvPr>
          <xdr:cNvSpPr txBox="1"/>
        </xdr:nvSpPr>
        <xdr:spPr>
          <a:xfrm>
            <a:off x="10287460" y="5085466"/>
            <a:ext cx="964195" cy="257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5FD2B230-FD51-4215-B62F-F2942D9A90F1}" type="TxLink">
              <a:rPr lang="en-US" sz="1200" b="0" i="0" u="none" strike="noStrike">
                <a:solidFill>
                  <a:srgbClr val="000000"/>
                </a:solidFill>
                <a:latin typeface="Agency FB" panose="020B0503020202020204" pitchFamily="34" charset="0"/>
                <a:ea typeface="Calibri"/>
                <a:cs typeface="Calibri"/>
              </a:rPr>
              <a:pPr marL="0" indent="0" algn="r"/>
              <a:t>Tablet Device</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6">
        <xdr:nvSpPr>
          <xdr:cNvPr id="47" name="TextBox 46">
            <a:extLst>
              <a:ext uri="{FF2B5EF4-FFF2-40B4-BE49-F238E27FC236}">
                <a16:creationId xmlns:a16="http://schemas.microsoft.com/office/drawing/2014/main" id="{00000000-0008-0000-0100-00002F000000}"/>
              </a:ext>
            </a:extLst>
          </xdr:cNvPr>
          <xdr:cNvSpPr txBox="1"/>
        </xdr:nvSpPr>
        <xdr:spPr>
          <a:xfrm>
            <a:off x="10066964" y="5692410"/>
            <a:ext cx="1184691" cy="277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807C8212-3512-40B8-B2ED-89E5727F700B}" type="TxLink">
              <a:rPr lang="en-US" sz="1200" b="0" i="0" u="none" strike="noStrike">
                <a:solidFill>
                  <a:srgbClr val="000000"/>
                </a:solidFill>
                <a:latin typeface="Agency FB" panose="020B0503020202020204" pitchFamily="34" charset="0"/>
                <a:ea typeface="Calibri"/>
                <a:cs typeface="Calibri"/>
              </a:rPr>
              <a:pPr marL="0" indent="0" algn="r"/>
              <a:t>Vending Machine</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4">
        <xdr:nvSpPr>
          <xdr:cNvPr id="48" name="TextBox 47">
            <a:extLst>
              <a:ext uri="{FF2B5EF4-FFF2-40B4-BE49-F238E27FC236}">
                <a16:creationId xmlns:a16="http://schemas.microsoft.com/office/drawing/2014/main" id="{00000000-0008-0000-0100-000030000000}"/>
              </a:ext>
            </a:extLst>
          </xdr:cNvPr>
          <xdr:cNvSpPr txBox="1"/>
        </xdr:nvSpPr>
        <xdr:spPr>
          <a:xfrm>
            <a:off x="10287460" y="5292498"/>
            <a:ext cx="964195" cy="257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1B1C5C21-2990-4E29-8CDE-DC3652FB14B1}" type="TxLink">
              <a:rPr lang="en-US" sz="1200" b="0" i="0" u="none" strike="noStrike">
                <a:solidFill>
                  <a:srgbClr val="000000"/>
                </a:solidFill>
                <a:latin typeface="Agency FB" panose="020B0503020202020204" pitchFamily="34" charset="0"/>
                <a:ea typeface="Calibri"/>
                <a:cs typeface="Calibri"/>
              </a:rPr>
              <a:pPr marL="0" indent="0" algn="r"/>
              <a:t>Note Pad</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5">
        <xdr:nvSpPr>
          <xdr:cNvPr id="49" name="TextBox 48">
            <a:extLst>
              <a:ext uri="{FF2B5EF4-FFF2-40B4-BE49-F238E27FC236}">
                <a16:creationId xmlns:a16="http://schemas.microsoft.com/office/drawing/2014/main" id="{00000000-0008-0000-0100-000031000000}"/>
              </a:ext>
            </a:extLst>
          </xdr:cNvPr>
          <xdr:cNvSpPr txBox="1"/>
        </xdr:nvSpPr>
        <xdr:spPr>
          <a:xfrm>
            <a:off x="10287460" y="5506959"/>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6E49F104-3F1D-4BD8-9147-1629E51A0556}" type="TxLink">
              <a:rPr lang="en-US" sz="1200" b="0" i="0" u="none" strike="noStrike">
                <a:solidFill>
                  <a:srgbClr val="000000"/>
                </a:solidFill>
                <a:latin typeface="Agency FB" panose="020B0503020202020204" pitchFamily="34" charset="0"/>
                <a:ea typeface="Calibri"/>
                <a:cs typeface="Calibri"/>
              </a:rPr>
              <a:pPr marL="0" indent="0" algn="r"/>
              <a:t>Chair</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7">
        <xdr:nvSpPr>
          <xdr:cNvPr id="50" name="TextBox 49">
            <a:extLst>
              <a:ext uri="{FF2B5EF4-FFF2-40B4-BE49-F238E27FC236}">
                <a16:creationId xmlns:a16="http://schemas.microsoft.com/office/drawing/2014/main" id="{00000000-0008-0000-0100-000032000000}"/>
              </a:ext>
            </a:extLst>
          </xdr:cNvPr>
          <xdr:cNvSpPr txBox="1"/>
        </xdr:nvSpPr>
        <xdr:spPr>
          <a:xfrm>
            <a:off x="10287460" y="5899443"/>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185C6CED-E9EE-4016-A23C-B2D704E8B34D}" type="TxLink">
              <a:rPr lang="en-US" sz="1200" b="0" i="0" u="none" strike="noStrike">
                <a:solidFill>
                  <a:srgbClr val="000000"/>
                </a:solidFill>
                <a:latin typeface="Agency FB" panose="020B0503020202020204" pitchFamily="34" charset="0"/>
                <a:ea typeface="Calibri"/>
                <a:cs typeface="Calibri"/>
              </a:rPr>
              <a:pPr marL="0" indent="0" algn="r"/>
              <a:t>Cloth Dryer stand</a:t>
            </a:fld>
            <a:endParaRPr lang="en-IN" sz="1200" b="0" i="0" u="none" strike="noStrike">
              <a:solidFill>
                <a:srgbClr val="000000"/>
              </a:solidFill>
              <a:latin typeface="Agency FB" panose="020B0503020202020204" pitchFamily="34" charset="0"/>
              <a:ea typeface="Calibri"/>
              <a:cs typeface="Calibri"/>
            </a:endParaRPr>
          </a:p>
        </xdr:txBody>
      </xdr:sp>
      <xdr:sp macro="" textlink="'item purchased order'!$J$18">
        <xdr:nvSpPr>
          <xdr:cNvPr id="51" name="TextBox 50">
            <a:extLst>
              <a:ext uri="{FF2B5EF4-FFF2-40B4-BE49-F238E27FC236}">
                <a16:creationId xmlns:a16="http://schemas.microsoft.com/office/drawing/2014/main" id="{00000000-0008-0000-0100-000033000000}"/>
              </a:ext>
            </a:extLst>
          </xdr:cNvPr>
          <xdr:cNvSpPr txBox="1"/>
        </xdr:nvSpPr>
        <xdr:spPr>
          <a:xfrm>
            <a:off x="10287460" y="6099732"/>
            <a:ext cx="964195" cy="256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r"/>
            <a:fld id="{5558B99B-A46C-4076-8D8F-CF08E669198E}" type="TxLink">
              <a:rPr lang="en-US" sz="1200" b="0" i="0" u="none" strike="noStrike">
                <a:solidFill>
                  <a:srgbClr val="000000"/>
                </a:solidFill>
                <a:latin typeface="Agency FB" panose="020B0503020202020204" pitchFamily="34" charset="0"/>
                <a:ea typeface="Calibri"/>
                <a:cs typeface="Calibri"/>
              </a:rPr>
              <a:pPr marL="0" indent="0" algn="r"/>
              <a:t>Pierre Cardin Set</a:t>
            </a:fld>
            <a:endParaRPr lang="en-IN" sz="1200" b="0" i="0" u="none" strike="noStrike">
              <a:solidFill>
                <a:srgbClr val="000000"/>
              </a:solidFill>
              <a:latin typeface="Agency FB" panose="020B0503020202020204" pitchFamily="34" charset="0"/>
              <a:ea typeface="Calibri"/>
              <a:cs typeface="Calibri"/>
            </a:endParaRPr>
          </a:p>
        </xdr:txBody>
      </xdr:sp>
    </xdr:grpSp>
    <xdr:clientData/>
  </xdr:twoCellAnchor>
  <xdr:twoCellAnchor editAs="absolute">
    <xdr:from>
      <xdr:col>7</xdr:col>
      <xdr:colOff>103910</xdr:colOff>
      <xdr:row>16</xdr:row>
      <xdr:rowOff>123151</xdr:rowOff>
    </xdr:from>
    <xdr:to>
      <xdr:col>9</xdr:col>
      <xdr:colOff>107757</xdr:colOff>
      <xdr:row>18</xdr:row>
      <xdr:rowOff>23091</xdr:rowOff>
    </xdr:to>
    <xdr:sp macro="" textlink="'item purchased order'!N11">
      <xdr:nvSpPr>
        <xdr:cNvPr id="126" name="Rectangle: Rounded Corners 125">
          <a:extLst>
            <a:ext uri="{FF2B5EF4-FFF2-40B4-BE49-F238E27FC236}">
              <a16:creationId xmlns:a16="http://schemas.microsoft.com/office/drawing/2014/main" id="{00000000-0008-0000-0100-00007E000000}"/>
            </a:ext>
          </a:extLst>
        </xdr:cNvPr>
        <xdr:cNvSpPr/>
      </xdr:nvSpPr>
      <xdr:spPr>
        <a:xfrm>
          <a:off x="8720668" y="2894060"/>
          <a:ext cx="2439938" cy="269395"/>
        </a:xfrm>
        <a:prstGeom prst="roundRect">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3BD75CD-7862-4590-A847-1405DEB9A2A4}" type="TxLink">
            <a:rPr lang="en-US" sz="1600" b="1" i="0" u="none" strike="noStrike">
              <a:solidFill>
                <a:schemeClr val="bg1"/>
              </a:solidFill>
              <a:latin typeface="Agency FB" panose="020B0503020202020204" pitchFamily="34" charset="0"/>
              <a:ea typeface="Calibri"/>
              <a:cs typeface="Calibri"/>
            </a:rPr>
            <a:pPr algn="ctr"/>
            <a:t> Top 3 Item Po  31%  Value</a:t>
          </a:fld>
          <a:endParaRPr lang="en-IN" sz="1600" b="1">
            <a:solidFill>
              <a:schemeClr val="bg1"/>
            </a:solidFill>
            <a:latin typeface="Agency FB" panose="020B0503020202020204" pitchFamily="34" charset="0"/>
          </a:endParaRPr>
        </a:p>
      </xdr:txBody>
    </xdr:sp>
    <xdr:clientData/>
  </xdr:twoCellAnchor>
  <xdr:twoCellAnchor editAs="absolute">
    <xdr:from>
      <xdr:col>9</xdr:col>
      <xdr:colOff>220597</xdr:colOff>
      <xdr:row>17</xdr:row>
      <xdr:rowOff>122463</xdr:rowOff>
    </xdr:from>
    <xdr:to>
      <xdr:col>11</xdr:col>
      <xdr:colOff>489857</xdr:colOff>
      <xdr:row>36</xdr:row>
      <xdr:rowOff>92362</xdr:rowOff>
    </xdr:to>
    <xdr:graphicFrame macro="">
      <xdr:nvGraphicFramePr>
        <xdr:cNvPr id="3072" name="Chart 3071">
          <a:extLst>
            <a:ext uri="{FF2B5EF4-FFF2-40B4-BE49-F238E27FC236}">
              <a16:creationId xmlns:a16="http://schemas.microsoft.com/office/drawing/2014/main" id="{00000000-0008-0000-0100-000000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272625</xdr:colOff>
      <xdr:row>16</xdr:row>
      <xdr:rowOff>3386</xdr:rowOff>
    </xdr:from>
    <xdr:to>
      <xdr:col>11</xdr:col>
      <xdr:colOff>396240</xdr:colOff>
      <xdr:row>17</xdr:row>
      <xdr:rowOff>88052</xdr:rowOff>
    </xdr:to>
    <xdr:sp macro="" textlink="'category wise saved'!F3">
      <xdr:nvSpPr>
        <xdr:cNvPr id="53" name="Rectangle: Rounded Corners 52">
          <a:extLst>
            <a:ext uri="{FF2B5EF4-FFF2-40B4-BE49-F238E27FC236}">
              <a16:creationId xmlns:a16="http://schemas.microsoft.com/office/drawing/2014/main" id="{00000000-0008-0000-0100-000035000000}"/>
            </a:ext>
          </a:extLst>
        </xdr:cNvPr>
        <xdr:cNvSpPr/>
      </xdr:nvSpPr>
      <xdr:spPr>
        <a:xfrm>
          <a:off x="11518050" y="2746586"/>
          <a:ext cx="2685630" cy="267546"/>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B66BC97-97B8-49E7-908B-87CE652D3E69}" type="TxLink">
            <a:rPr lang="en-US" sz="1800" b="1" i="0" u="none" strike="noStrike">
              <a:solidFill>
                <a:schemeClr val="bg1"/>
              </a:solidFill>
              <a:latin typeface="Agency FB" panose="020B0503020202020204" pitchFamily="34" charset="0"/>
              <a:ea typeface="Calibri"/>
              <a:cs typeface="Calibri"/>
            </a:rPr>
            <a:pPr marL="0" indent="0" algn="ctr"/>
            <a:t>category wise saved</a:t>
          </a:fld>
          <a:endParaRPr lang="en-IN" sz="1800" b="1" i="0" u="none" strike="noStrike">
            <a:solidFill>
              <a:schemeClr val="bg1"/>
            </a:solidFill>
            <a:latin typeface="Agency FB" panose="020B0503020202020204" pitchFamily="34" charset="0"/>
            <a:ea typeface="Calibri"/>
            <a:cs typeface="Calibri"/>
          </a:endParaRPr>
        </a:p>
      </xdr:txBody>
    </xdr:sp>
    <xdr:clientData/>
  </xdr:twoCellAnchor>
  <xdr:twoCellAnchor editAs="absolute">
    <xdr:from>
      <xdr:col>7</xdr:col>
      <xdr:colOff>15850</xdr:colOff>
      <xdr:row>5</xdr:row>
      <xdr:rowOff>100033</xdr:rowOff>
    </xdr:from>
    <xdr:to>
      <xdr:col>8</xdr:col>
      <xdr:colOff>404470</xdr:colOff>
      <xdr:row>14</xdr:row>
      <xdr:rowOff>1296</xdr:rowOff>
    </xdr:to>
    <xdr:grpSp>
      <xdr:nvGrpSpPr>
        <xdr:cNvPr id="65" name="Group 64">
          <a:extLst>
            <a:ext uri="{FF2B5EF4-FFF2-40B4-BE49-F238E27FC236}">
              <a16:creationId xmlns:a16="http://schemas.microsoft.com/office/drawing/2014/main" id="{00000000-0008-0000-0100-000041000000}"/>
            </a:ext>
          </a:extLst>
        </xdr:cNvPr>
        <xdr:cNvGrpSpPr/>
      </xdr:nvGrpSpPr>
      <xdr:grpSpPr>
        <a:xfrm>
          <a:off x="8566100" y="1022454"/>
          <a:ext cx="1996440" cy="1561621"/>
          <a:chOff x="8476470" y="824456"/>
          <a:chExt cx="1996836" cy="1566231"/>
        </a:xfrm>
      </xdr:grpSpPr>
      <xdr:sp macro=""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8638730" y="824456"/>
            <a:ext cx="1834576" cy="156623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Quotation Value '!E3">
        <xdr:nvSpPr>
          <xdr:cNvPr id="116" name="Rectangle: Rounded Corners 115">
            <a:extLst>
              <a:ext uri="{FF2B5EF4-FFF2-40B4-BE49-F238E27FC236}">
                <a16:creationId xmlns:a16="http://schemas.microsoft.com/office/drawing/2014/main" id="{00000000-0008-0000-0100-000074000000}"/>
              </a:ext>
            </a:extLst>
          </xdr:cNvPr>
          <xdr:cNvSpPr/>
        </xdr:nvSpPr>
        <xdr:spPr>
          <a:xfrm>
            <a:off x="8861126" y="987819"/>
            <a:ext cx="1389492" cy="25054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E3DD1EA-CB08-45B9-B826-2362DC4F58CA}" type="TxLink">
              <a:rPr lang="en-US" sz="1800" b="0" i="0" u="none" strike="noStrike">
                <a:solidFill>
                  <a:schemeClr val="bg2">
                    <a:lumMod val="25000"/>
                  </a:schemeClr>
                </a:solidFill>
                <a:latin typeface="Agency FB" panose="020B0503020202020204" pitchFamily="34" charset="0"/>
                <a:ea typeface="Calibri"/>
                <a:cs typeface="Calibri"/>
              </a:rPr>
              <a:pPr algn="ctr"/>
              <a:t>Quotation Value </a:t>
            </a:fld>
            <a:endParaRPr lang="en-IN" sz="3200">
              <a:solidFill>
                <a:schemeClr val="bg2">
                  <a:lumMod val="25000"/>
                </a:schemeClr>
              </a:solidFill>
              <a:latin typeface="Agency FB" panose="020B0503020202020204" pitchFamily="34" charset="0"/>
              <a:ea typeface="+mn-ea"/>
              <a:cs typeface="+mn-cs"/>
            </a:endParaRPr>
          </a:p>
        </xdr:txBody>
      </xdr:sp>
      <xdr:sp macro="" textlink="'Quotation Value '!E16">
        <xdr:nvSpPr>
          <xdr:cNvPr id="117" name="TextBox 116">
            <a:extLst>
              <a:ext uri="{FF2B5EF4-FFF2-40B4-BE49-F238E27FC236}">
                <a16:creationId xmlns:a16="http://schemas.microsoft.com/office/drawing/2014/main" id="{00000000-0008-0000-0100-000075000000}"/>
              </a:ext>
            </a:extLst>
          </xdr:cNvPr>
          <xdr:cNvSpPr txBox="1"/>
        </xdr:nvSpPr>
        <xdr:spPr>
          <a:xfrm>
            <a:off x="8958468" y="1376491"/>
            <a:ext cx="1200066" cy="3404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61D59844-558B-42F8-92FC-5628C73BC61F}" type="TxLink">
              <a:rPr lang="en-US" sz="1600" b="1" i="0" u="none" strike="noStrike">
                <a:solidFill>
                  <a:schemeClr val="tx1">
                    <a:lumMod val="85000"/>
                    <a:lumOff val="15000"/>
                  </a:schemeClr>
                </a:solidFill>
                <a:latin typeface="Agency FB" panose="020B0503020202020204" pitchFamily="34" charset="0"/>
                <a:ea typeface="Calibri"/>
                <a:cs typeface="Calibri"/>
              </a:rPr>
              <a:pPr marL="0" indent="0"/>
              <a:t> ₹ 69,73,036 </a:t>
            </a:fld>
            <a:endParaRPr lang="en-IN" sz="1600" b="1" i="0" u="none" strike="noStrike">
              <a:solidFill>
                <a:schemeClr val="tx1">
                  <a:lumMod val="85000"/>
                  <a:lumOff val="15000"/>
                </a:schemeClr>
              </a:solidFill>
              <a:latin typeface="Agency FB" panose="020B0503020202020204" pitchFamily="34" charset="0"/>
              <a:ea typeface="Calibri"/>
              <a:cs typeface="Calibri"/>
            </a:endParaRPr>
          </a:p>
        </xdr:txBody>
      </xdr:sp>
      <xdr:sp macro="" textlink="'Quotation Value '!E3">
        <xdr:nvSpPr>
          <xdr:cNvPr id="54" name="Rectangle: Rounded Corners 53">
            <a:extLst>
              <a:ext uri="{FF2B5EF4-FFF2-40B4-BE49-F238E27FC236}">
                <a16:creationId xmlns:a16="http://schemas.microsoft.com/office/drawing/2014/main" id="{00000000-0008-0000-0100-000036000000}"/>
              </a:ext>
            </a:extLst>
          </xdr:cNvPr>
          <xdr:cNvSpPr/>
        </xdr:nvSpPr>
        <xdr:spPr>
          <a:xfrm>
            <a:off x="8476470" y="1788350"/>
            <a:ext cx="1357176" cy="32967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bg2">
                    <a:lumMod val="25000"/>
                  </a:schemeClr>
                </a:solidFill>
                <a:latin typeface="Agency FB" panose="020B0503020202020204" pitchFamily="34" charset="0"/>
                <a:ea typeface="+mn-ea"/>
                <a:cs typeface="+mn-cs"/>
              </a:rPr>
              <a:t>Average</a:t>
            </a:r>
            <a:r>
              <a:rPr lang="en-IN" sz="1600" baseline="0">
                <a:solidFill>
                  <a:schemeClr val="bg2">
                    <a:lumMod val="25000"/>
                  </a:schemeClr>
                </a:solidFill>
                <a:latin typeface="Agency FB" panose="020B0503020202020204" pitchFamily="34" charset="0"/>
                <a:ea typeface="+mn-ea"/>
                <a:cs typeface="+mn-cs"/>
              </a:rPr>
              <a:t> %</a:t>
            </a:r>
            <a:endParaRPr lang="en-IN" sz="1600">
              <a:solidFill>
                <a:schemeClr val="bg2">
                  <a:lumMod val="25000"/>
                </a:schemeClr>
              </a:solidFill>
              <a:latin typeface="Agency FB" panose="020B0503020202020204" pitchFamily="34" charset="0"/>
              <a:ea typeface="+mn-ea"/>
              <a:cs typeface="+mn-cs"/>
            </a:endParaRPr>
          </a:p>
        </xdr:txBody>
      </xdr:sp>
      <xdr:sp macro="" textlink="'Quotation Value '!F16">
        <xdr:nvSpPr>
          <xdr:cNvPr id="55" name="TextBox 54">
            <a:extLst>
              <a:ext uri="{FF2B5EF4-FFF2-40B4-BE49-F238E27FC236}">
                <a16:creationId xmlns:a16="http://schemas.microsoft.com/office/drawing/2014/main" id="{00000000-0008-0000-0100-000037000000}"/>
              </a:ext>
            </a:extLst>
          </xdr:cNvPr>
          <xdr:cNvSpPr txBox="1"/>
        </xdr:nvSpPr>
        <xdr:spPr>
          <a:xfrm>
            <a:off x="9560750" y="1808670"/>
            <a:ext cx="788357" cy="3073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4010155A-1CF5-49E6-86E1-2B5AD869E09E}"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t>100.00%</a:t>
            </a:fld>
            <a:endParaRPr lang="en-IN" sz="2000" b="1" i="0" u="none" strike="noStrike">
              <a:solidFill>
                <a:schemeClr val="tx1">
                  <a:lumMod val="85000"/>
                  <a:lumOff val="15000"/>
                </a:schemeClr>
              </a:solidFill>
              <a:latin typeface="Agency FB" panose="020B0503020202020204" pitchFamily="34" charset="0"/>
              <a:ea typeface="Calibri"/>
              <a:cs typeface="Calibri"/>
            </a:endParaRPr>
          </a:p>
        </xdr:txBody>
      </xdr:sp>
    </xdr:grpSp>
    <xdr:clientData/>
  </xdr:twoCellAnchor>
  <xdr:twoCellAnchor editAs="absolute">
    <xdr:from>
      <xdr:col>2</xdr:col>
      <xdr:colOff>32125</xdr:colOff>
      <xdr:row>23</xdr:row>
      <xdr:rowOff>155693</xdr:rowOff>
    </xdr:from>
    <xdr:to>
      <xdr:col>3</xdr:col>
      <xdr:colOff>132347</xdr:colOff>
      <xdr:row>25</xdr:row>
      <xdr:rowOff>120316</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2502650" y="4398830"/>
          <a:ext cx="1419645" cy="333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latin typeface="Agency FB" panose="020B0503020202020204" pitchFamily="34" charset="0"/>
            </a:rPr>
            <a:t>Remaining Quantity</a:t>
          </a:r>
        </a:p>
      </xdr:txBody>
    </xdr:sp>
    <xdr:clientData/>
  </xdr:twoCellAnchor>
  <xdr:twoCellAnchor editAs="absolute">
    <xdr:from>
      <xdr:col>2</xdr:col>
      <xdr:colOff>188040</xdr:colOff>
      <xdr:row>25</xdr:row>
      <xdr:rowOff>163342</xdr:rowOff>
    </xdr:from>
    <xdr:to>
      <xdr:col>2</xdr:col>
      <xdr:colOff>553332</xdr:colOff>
      <xdr:row>28</xdr:row>
      <xdr:rowOff>140547</xdr:rowOff>
    </xdr:to>
    <xdr:sp macro="" textlink="'remaining quantity'!E16">
      <xdr:nvSpPr>
        <xdr:cNvPr id="52" name="TextBox 51">
          <a:extLst>
            <a:ext uri="{FF2B5EF4-FFF2-40B4-BE49-F238E27FC236}">
              <a16:creationId xmlns:a16="http://schemas.microsoft.com/office/drawing/2014/main" id="{00000000-0008-0000-0100-000034000000}"/>
            </a:ext>
          </a:extLst>
        </xdr:cNvPr>
        <xdr:cNvSpPr txBox="1"/>
      </xdr:nvSpPr>
      <xdr:spPr>
        <a:xfrm>
          <a:off x="2814480" y="4604713"/>
          <a:ext cx="73058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0619642-6F91-4DE3-8FD0-7607BB60299C}" type="TxLink">
            <a:rPr lang="en-US" sz="2800" b="1" i="0" u="none" strike="noStrike">
              <a:solidFill>
                <a:srgbClr val="C1121F"/>
              </a:solidFill>
              <a:latin typeface="Calibri"/>
              <a:ea typeface="Calibri"/>
              <a:cs typeface="Calibri"/>
            </a:rPr>
            <a:pPr/>
            <a:t>416</a:t>
          </a:fld>
          <a:endParaRPr lang="en-IN" sz="2800" b="1">
            <a:solidFill>
              <a:srgbClr val="C1121F"/>
            </a:solidFill>
          </a:endParaRPr>
        </a:p>
      </xdr:txBody>
    </xdr:sp>
    <xdr:clientData/>
  </xdr:twoCellAnchor>
  <xdr:twoCellAnchor editAs="absolute">
    <xdr:from>
      <xdr:col>2</xdr:col>
      <xdr:colOff>61575</xdr:colOff>
      <xdr:row>30</xdr:row>
      <xdr:rowOff>131522</xdr:rowOff>
    </xdr:from>
    <xdr:to>
      <xdr:col>3</xdr:col>
      <xdr:colOff>96991</xdr:colOff>
      <xdr:row>32</xdr:row>
      <xdr:rowOff>97901</xdr:rowOff>
    </xdr:to>
    <xdr:sp macro="" textlink="'Open PO Amount'!E3">
      <xdr:nvSpPr>
        <xdr:cNvPr id="56" name="TextBox 55">
          <a:extLst>
            <a:ext uri="{FF2B5EF4-FFF2-40B4-BE49-F238E27FC236}">
              <a16:creationId xmlns:a16="http://schemas.microsoft.com/office/drawing/2014/main" id="{00000000-0008-0000-0100-000038000000}"/>
            </a:ext>
          </a:extLst>
        </xdr:cNvPr>
        <xdr:cNvSpPr txBox="1"/>
      </xdr:nvSpPr>
      <xdr:spPr>
        <a:xfrm>
          <a:off x="2568250" y="5473896"/>
          <a:ext cx="1290033" cy="33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FF13050-582E-4946-AA42-9DFAC7E02456}" type="TxLink">
            <a:rPr lang="en-US" sz="1600" b="0" i="0" u="none" strike="noStrike">
              <a:solidFill>
                <a:srgbClr val="000000"/>
              </a:solidFill>
              <a:latin typeface="Agency FB" panose="020B0503020202020204" pitchFamily="34" charset="0"/>
              <a:ea typeface="Calibri"/>
              <a:cs typeface="Calibri"/>
            </a:rPr>
            <a:pPr/>
            <a:t> Open PO Amount</a:t>
          </a:fld>
          <a:endParaRPr lang="en-IN" sz="1600">
            <a:latin typeface="Agency FB" panose="020B0503020202020204" pitchFamily="34" charset="0"/>
          </a:endParaRPr>
        </a:p>
      </xdr:txBody>
    </xdr:sp>
    <xdr:clientData/>
  </xdr:twoCellAnchor>
  <xdr:twoCellAnchor editAs="absolute">
    <xdr:from>
      <xdr:col>1</xdr:col>
      <xdr:colOff>594246</xdr:colOff>
      <xdr:row>32</xdr:row>
      <xdr:rowOff>110643</xdr:rowOff>
    </xdr:from>
    <xdr:to>
      <xdr:col>3</xdr:col>
      <xdr:colOff>152150</xdr:colOff>
      <xdr:row>35</xdr:row>
      <xdr:rowOff>83682</xdr:rowOff>
    </xdr:to>
    <xdr:sp macro="" textlink="'Open PO Amount'!E16">
      <xdr:nvSpPr>
        <xdr:cNvPr id="57" name="TextBox 56">
          <a:extLst>
            <a:ext uri="{FF2B5EF4-FFF2-40B4-BE49-F238E27FC236}">
              <a16:creationId xmlns:a16="http://schemas.microsoft.com/office/drawing/2014/main" id="{00000000-0008-0000-0100-000039000000}"/>
            </a:ext>
          </a:extLst>
        </xdr:cNvPr>
        <xdr:cNvSpPr txBox="1"/>
      </xdr:nvSpPr>
      <xdr:spPr>
        <a:xfrm>
          <a:off x="2411042" y="5821456"/>
          <a:ext cx="1554208" cy="5264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636DDC4-2563-4D08-9B34-6CD58996B7CB}" type="TxLink">
            <a:rPr lang="en-US" sz="2800" b="1" i="0" u="none" strike="noStrike">
              <a:solidFill>
                <a:srgbClr val="003049"/>
              </a:solidFill>
              <a:latin typeface="Agency FB" panose="020B0503020202020204" pitchFamily="34" charset="0"/>
              <a:ea typeface="Calibri"/>
              <a:cs typeface="Calibri"/>
            </a:rPr>
            <a:pPr/>
            <a:t> ₹ 1,71,644 </a:t>
          </a:fld>
          <a:endParaRPr lang="en-IN" sz="2800" b="1">
            <a:solidFill>
              <a:srgbClr val="003049"/>
            </a:solidFill>
            <a:latin typeface="Agency FB" panose="020B0503020202020204" pitchFamily="34" charset="0"/>
          </a:endParaRPr>
        </a:p>
      </xdr:txBody>
    </xdr:sp>
    <xdr:clientData/>
  </xdr:twoCellAnchor>
  <xdr:twoCellAnchor editAs="absolute">
    <xdr:from>
      <xdr:col>1</xdr:col>
      <xdr:colOff>444500</xdr:colOff>
      <xdr:row>6</xdr:row>
      <xdr:rowOff>91439</xdr:rowOff>
    </xdr:from>
    <xdr:to>
      <xdr:col>3</xdr:col>
      <xdr:colOff>226786</xdr:colOff>
      <xdr:row>16</xdr:row>
      <xdr:rowOff>127000</xdr:rowOff>
    </xdr:to>
    <xdr:graphicFrame macro="">
      <xdr:nvGraphicFramePr>
        <xdr:cNvPr id="58" name="Chart 57">
          <a:extLst>
            <a:ext uri="{FF2B5EF4-FFF2-40B4-BE49-F238E27FC236}">
              <a16:creationId xmlns:a16="http://schemas.microsoft.com/office/drawing/2014/main" id="{00000000-0008-0000-01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xdr:col>
      <xdr:colOff>431240</xdr:colOff>
      <xdr:row>17</xdr:row>
      <xdr:rowOff>8374</xdr:rowOff>
    </xdr:from>
    <xdr:to>
      <xdr:col>2</xdr:col>
      <xdr:colOff>439612</xdr:colOff>
      <xdr:row>18</xdr:row>
      <xdr:rowOff>58614</xdr:rowOff>
    </xdr:to>
    <xdr:sp macro="" textlink="">
      <xdr:nvSpPr>
        <xdr:cNvPr id="63" name="Rectangle: Rounded Corners 62">
          <a:extLst>
            <a:ext uri="{FF2B5EF4-FFF2-40B4-BE49-F238E27FC236}">
              <a16:creationId xmlns:a16="http://schemas.microsoft.com/office/drawing/2014/main" id="{00000000-0008-0000-0100-00003F000000}"/>
            </a:ext>
          </a:extLst>
        </xdr:cNvPr>
        <xdr:cNvSpPr/>
      </xdr:nvSpPr>
      <xdr:spPr>
        <a:xfrm>
          <a:off x="2080023" y="2923852"/>
          <a:ext cx="1234288" cy="23245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500">
              <a:solidFill>
                <a:schemeClr val="tx1">
                  <a:lumMod val="95000"/>
                  <a:lumOff val="5000"/>
                </a:schemeClr>
              </a:solidFill>
              <a:latin typeface="Agency FB" panose="020B0503020202020204" pitchFamily="34" charset="0"/>
            </a:rPr>
            <a:t>Indentor</a:t>
          </a:r>
          <a:r>
            <a:rPr lang="en-IN" sz="1400" baseline="0">
              <a:solidFill>
                <a:schemeClr val="tx1">
                  <a:lumMod val="95000"/>
                  <a:lumOff val="5000"/>
                </a:schemeClr>
              </a:solidFill>
            </a:rPr>
            <a:t> </a:t>
          </a:r>
          <a:r>
            <a:rPr lang="en-IN" sz="1500" baseline="0">
              <a:solidFill>
                <a:schemeClr val="tx1">
                  <a:lumMod val="95000"/>
                  <a:lumOff val="5000"/>
                </a:schemeClr>
              </a:solidFill>
              <a:latin typeface="Agency FB" panose="020B0503020202020204" pitchFamily="34" charset="0"/>
            </a:rPr>
            <a:t>A</a:t>
          </a:r>
          <a:r>
            <a:rPr lang="en-IN" sz="1500">
              <a:latin typeface="Agency FB" panose="020B0503020202020204" pitchFamily="34" charset="0"/>
            </a:rPr>
            <a:t>AII</a:t>
          </a:r>
        </a:p>
      </xdr:txBody>
    </xdr:sp>
    <xdr:clientData/>
  </xdr:twoCellAnchor>
  <xdr:twoCellAnchor editAs="absolute">
    <xdr:from>
      <xdr:col>1</xdr:col>
      <xdr:colOff>510791</xdr:colOff>
      <xdr:row>17</xdr:row>
      <xdr:rowOff>58616</xdr:rowOff>
    </xdr:from>
    <xdr:to>
      <xdr:col>1</xdr:col>
      <xdr:colOff>581966</xdr:colOff>
      <xdr:row>18</xdr:row>
      <xdr:rowOff>16748</xdr:rowOff>
    </xdr:to>
    <xdr:sp macro="" textlink="">
      <xdr:nvSpPr>
        <xdr:cNvPr id="67" name="Flowchart: Connector 66">
          <a:extLst>
            <a:ext uri="{FF2B5EF4-FFF2-40B4-BE49-F238E27FC236}">
              <a16:creationId xmlns:a16="http://schemas.microsoft.com/office/drawing/2014/main" id="{00000000-0008-0000-0100-000043000000}"/>
            </a:ext>
          </a:extLst>
        </xdr:cNvPr>
        <xdr:cNvSpPr/>
      </xdr:nvSpPr>
      <xdr:spPr>
        <a:xfrm>
          <a:off x="2244132" y="3006132"/>
          <a:ext cx="142349" cy="142352"/>
        </a:xfrm>
        <a:prstGeom prst="flowChartConnector">
          <a:avLst/>
        </a:prstGeom>
        <a:solidFill>
          <a:srgbClr val="00304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endParaRPr>
        </a:p>
      </xdr:txBody>
    </xdr:sp>
    <xdr:clientData/>
  </xdr:twoCellAnchor>
  <xdr:twoCellAnchor editAs="absolute">
    <xdr:from>
      <xdr:col>1</xdr:col>
      <xdr:colOff>364251</xdr:colOff>
      <xdr:row>18</xdr:row>
      <xdr:rowOff>118907</xdr:rowOff>
    </xdr:from>
    <xdr:to>
      <xdr:col>2</xdr:col>
      <xdr:colOff>372623</xdr:colOff>
      <xdr:row>19</xdr:row>
      <xdr:rowOff>169147</xdr:rowOff>
    </xdr:to>
    <xdr:sp macro="" textlink="">
      <xdr:nvSpPr>
        <xdr:cNvPr id="78" name="Rectangle: Rounded Corners 77">
          <a:extLst>
            <a:ext uri="{FF2B5EF4-FFF2-40B4-BE49-F238E27FC236}">
              <a16:creationId xmlns:a16="http://schemas.microsoft.com/office/drawing/2014/main" id="{00000000-0008-0000-0100-00004E000000}"/>
            </a:ext>
          </a:extLst>
        </xdr:cNvPr>
        <xdr:cNvSpPr/>
      </xdr:nvSpPr>
      <xdr:spPr>
        <a:xfrm>
          <a:off x="1946045" y="3216603"/>
          <a:ext cx="1234288" cy="2324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500">
              <a:solidFill>
                <a:schemeClr val="tx1">
                  <a:lumMod val="95000"/>
                  <a:lumOff val="5000"/>
                </a:schemeClr>
              </a:solidFill>
              <a:latin typeface="Agency FB" panose="020B0503020202020204" pitchFamily="34" charset="0"/>
            </a:rPr>
            <a:t>Indentor</a:t>
          </a:r>
          <a:r>
            <a:rPr lang="en-IN" sz="1400" baseline="0">
              <a:solidFill>
                <a:schemeClr val="tx1">
                  <a:lumMod val="95000"/>
                  <a:lumOff val="5000"/>
                </a:schemeClr>
              </a:solidFill>
            </a:rPr>
            <a:t> B</a:t>
          </a:r>
          <a:endParaRPr lang="en-IN" sz="1500">
            <a:latin typeface="Agency FB" panose="020B0503020202020204" pitchFamily="34" charset="0"/>
          </a:endParaRPr>
        </a:p>
      </xdr:txBody>
    </xdr:sp>
    <xdr:clientData/>
  </xdr:twoCellAnchor>
  <xdr:twoCellAnchor editAs="absolute">
    <xdr:from>
      <xdr:col>1</xdr:col>
      <xdr:colOff>514137</xdr:colOff>
      <xdr:row>19</xdr:row>
      <xdr:rowOff>1675</xdr:rowOff>
    </xdr:from>
    <xdr:to>
      <xdr:col>1</xdr:col>
      <xdr:colOff>576940</xdr:colOff>
      <xdr:row>19</xdr:row>
      <xdr:rowOff>127280</xdr:rowOff>
    </xdr:to>
    <xdr:sp macro="" textlink="">
      <xdr:nvSpPr>
        <xdr:cNvPr id="79" name="Flowchart: Connector 78">
          <a:extLst>
            <a:ext uri="{FF2B5EF4-FFF2-40B4-BE49-F238E27FC236}">
              <a16:creationId xmlns:a16="http://schemas.microsoft.com/office/drawing/2014/main" id="{00000000-0008-0000-0100-00004F000000}"/>
            </a:ext>
          </a:extLst>
        </xdr:cNvPr>
        <xdr:cNvSpPr/>
      </xdr:nvSpPr>
      <xdr:spPr>
        <a:xfrm>
          <a:off x="2250824" y="3317631"/>
          <a:ext cx="125606" cy="125605"/>
        </a:xfrm>
        <a:prstGeom prst="flowChartConnector">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endParaRPr>
        </a:p>
      </xdr:txBody>
    </xdr:sp>
    <xdr:clientData/>
  </xdr:twoCellAnchor>
  <xdr:twoCellAnchor editAs="absolute">
    <xdr:from>
      <xdr:col>1</xdr:col>
      <xdr:colOff>397747</xdr:colOff>
      <xdr:row>20</xdr:row>
      <xdr:rowOff>36846</xdr:rowOff>
    </xdr:from>
    <xdr:to>
      <xdr:col>2</xdr:col>
      <xdr:colOff>406117</xdr:colOff>
      <xdr:row>21</xdr:row>
      <xdr:rowOff>87086</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2013037" y="3498976"/>
          <a:ext cx="1234284" cy="23245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500">
              <a:solidFill>
                <a:schemeClr val="tx1">
                  <a:lumMod val="95000"/>
                  <a:lumOff val="5000"/>
                </a:schemeClr>
              </a:solidFill>
              <a:latin typeface="Agency FB" panose="020B0503020202020204" pitchFamily="34" charset="0"/>
            </a:rPr>
            <a:t>Indentor</a:t>
          </a:r>
          <a:r>
            <a:rPr lang="en-IN" sz="1400" baseline="0">
              <a:solidFill>
                <a:schemeClr val="tx1">
                  <a:lumMod val="95000"/>
                  <a:lumOff val="5000"/>
                </a:schemeClr>
              </a:solidFill>
            </a:rPr>
            <a:t> </a:t>
          </a:r>
          <a:r>
            <a:rPr lang="en-IN" sz="1500" baseline="0">
              <a:solidFill>
                <a:schemeClr val="tx1">
                  <a:lumMod val="95000"/>
                  <a:lumOff val="5000"/>
                </a:schemeClr>
              </a:solidFill>
              <a:latin typeface="Agency FB" panose="020B0503020202020204" pitchFamily="34" charset="0"/>
            </a:rPr>
            <a:t>C</a:t>
          </a:r>
          <a:r>
            <a:rPr lang="en-IN" sz="1500">
              <a:latin typeface="Agency FB" panose="020B0503020202020204" pitchFamily="34" charset="0"/>
            </a:rPr>
            <a:t>II</a:t>
          </a:r>
        </a:p>
      </xdr:txBody>
    </xdr:sp>
    <xdr:clientData/>
  </xdr:twoCellAnchor>
  <xdr:twoCellAnchor editAs="absolute">
    <xdr:from>
      <xdr:col>1</xdr:col>
      <xdr:colOff>514976</xdr:colOff>
      <xdr:row>20</xdr:row>
      <xdr:rowOff>95460</xdr:rowOff>
    </xdr:from>
    <xdr:to>
      <xdr:col>1</xdr:col>
      <xdr:colOff>577779</xdr:colOff>
      <xdr:row>21</xdr:row>
      <xdr:rowOff>36845</xdr:rowOff>
    </xdr:to>
    <xdr:sp macro="" textlink="">
      <xdr:nvSpPr>
        <xdr:cNvPr id="87" name="Flowchart: Connector 86">
          <a:extLst>
            <a:ext uri="{FF2B5EF4-FFF2-40B4-BE49-F238E27FC236}">
              <a16:creationId xmlns:a16="http://schemas.microsoft.com/office/drawing/2014/main" id="{00000000-0008-0000-0100-000057000000}"/>
            </a:ext>
          </a:extLst>
        </xdr:cNvPr>
        <xdr:cNvSpPr/>
      </xdr:nvSpPr>
      <xdr:spPr>
        <a:xfrm>
          <a:off x="2252502" y="3595636"/>
          <a:ext cx="125606" cy="125605"/>
        </a:xfrm>
        <a:prstGeom prst="flowChartConnector">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464736</xdr:colOff>
      <xdr:row>15</xdr:row>
      <xdr:rowOff>58614</xdr:rowOff>
    </xdr:from>
    <xdr:to>
      <xdr:col>2</xdr:col>
      <xdr:colOff>234461</xdr:colOff>
      <xdr:row>16</xdr:row>
      <xdr:rowOff>159097</xdr:rowOff>
    </xdr:to>
    <xdr:sp macro="" textlink="">
      <xdr:nvSpPr>
        <xdr:cNvPr id="88" name="Rectangle: Rounded Corners 87">
          <a:extLst>
            <a:ext uri="{FF2B5EF4-FFF2-40B4-BE49-F238E27FC236}">
              <a16:creationId xmlns:a16="http://schemas.microsoft.com/office/drawing/2014/main" id="{00000000-0008-0000-0100-000058000000}"/>
            </a:ext>
          </a:extLst>
        </xdr:cNvPr>
        <xdr:cNvSpPr/>
      </xdr:nvSpPr>
      <xdr:spPr>
        <a:xfrm>
          <a:off x="2152022" y="2637691"/>
          <a:ext cx="762000" cy="2847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n>
                <a:noFill/>
              </a:ln>
              <a:solidFill>
                <a:schemeClr val="bg1">
                  <a:lumMod val="50000"/>
                </a:schemeClr>
              </a:solidFill>
              <a:latin typeface="Agency FB" panose="020B0503020202020204" pitchFamily="34" charset="0"/>
            </a:rPr>
            <a:t>Legend</a:t>
          </a:r>
        </a:p>
      </xdr:txBody>
    </xdr:sp>
    <xdr:clientData/>
  </xdr:twoCellAnchor>
  <xdr:twoCellAnchor editAs="absolute">
    <xdr:from>
      <xdr:col>2</xdr:col>
      <xdr:colOff>79549</xdr:colOff>
      <xdr:row>5</xdr:row>
      <xdr:rowOff>33494</xdr:rowOff>
    </xdr:from>
    <xdr:to>
      <xdr:col>3</xdr:col>
      <xdr:colOff>17406</xdr:colOff>
      <xdr:row>7</xdr:row>
      <xdr:rowOff>2567</xdr:rowOff>
    </xdr:to>
    <xdr:sp macro="" textlink="'indentor po'!F3">
      <xdr:nvSpPr>
        <xdr:cNvPr id="89" name="TextBox 88">
          <a:extLst>
            <a:ext uri="{FF2B5EF4-FFF2-40B4-BE49-F238E27FC236}">
              <a16:creationId xmlns:a16="http://schemas.microsoft.com/office/drawing/2014/main" id="{00000000-0008-0000-0100-000059000000}"/>
            </a:ext>
          </a:extLst>
        </xdr:cNvPr>
        <xdr:cNvSpPr txBox="1"/>
      </xdr:nvSpPr>
      <xdr:spPr>
        <a:xfrm>
          <a:off x="2597498" y="773723"/>
          <a:ext cx="1094915" cy="338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E2FE8D4-4D04-4E19-A5AB-031BC1426AB2}" type="TxLink">
            <a:rPr lang="en-US" sz="1600" b="1" i="0" u="none" strike="noStrike">
              <a:solidFill>
                <a:schemeClr val="tx1">
                  <a:lumMod val="95000"/>
                  <a:lumOff val="5000"/>
                </a:schemeClr>
              </a:solidFill>
              <a:latin typeface="Agency FB" panose="020B0503020202020204" pitchFamily="34" charset="0"/>
              <a:ea typeface="Calibri"/>
              <a:cs typeface="Calibri"/>
            </a:rPr>
            <a:pPr/>
            <a:t>Indentor PO  </a:t>
          </a:fld>
          <a:endParaRPr lang="en-IN" sz="1600" b="1">
            <a:solidFill>
              <a:schemeClr val="tx1">
                <a:lumMod val="95000"/>
                <a:lumOff val="5000"/>
              </a:schemeClr>
            </a:solidFill>
            <a:latin typeface="Agency FB" panose="020B0503020202020204" pitchFamily="34" charset="0"/>
          </a:endParaRPr>
        </a:p>
      </xdr:txBody>
    </xdr:sp>
    <xdr:clientData/>
  </xdr:twoCellAnchor>
  <xdr:twoCellAnchor editAs="absolute">
    <xdr:from>
      <xdr:col>2</xdr:col>
      <xdr:colOff>313810</xdr:colOff>
      <xdr:row>16</xdr:row>
      <xdr:rowOff>127643</xdr:rowOff>
    </xdr:from>
    <xdr:to>
      <xdr:col>3</xdr:col>
      <xdr:colOff>234202</xdr:colOff>
      <xdr:row>18</xdr:row>
      <xdr:rowOff>105501</xdr:rowOff>
    </xdr:to>
    <xdr:sp macro="" textlink="'indentor po'!F4">
      <xdr:nvSpPr>
        <xdr:cNvPr id="90" name="Rectangle: Rounded Corners 89">
          <a:extLst>
            <a:ext uri="{FF2B5EF4-FFF2-40B4-BE49-F238E27FC236}">
              <a16:creationId xmlns:a16="http://schemas.microsoft.com/office/drawing/2014/main" id="{00000000-0008-0000-0100-00005A000000}"/>
            </a:ext>
          </a:extLst>
        </xdr:cNvPr>
        <xdr:cNvSpPr/>
      </xdr:nvSpPr>
      <xdr:spPr>
        <a:xfrm>
          <a:off x="3062707" y="2860904"/>
          <a:ext cx="1058327" cy="34229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r"/>
          <a:fld id="{BB8A420F-D524-4182-B7CD-FE9C66BD9A0B}"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lgn="r"/>
            <a:t> ₹ 24,04,754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2</xdr:col>
      <xdr:colOff>308070</xdr:colOff>
      <xdr:row>18</xdr:row>
      <xdr:rowOff>64242</xdr:rowOff>
    </xdr:from>
    <xdr:to>
      <xdr:col>3</xdr:col>
      <xdr:colOff>234202</xdr:colOff>
      <xdr:row>20</xdr:row>
      <xdr:rowOff>42101</xdr:rowOff>
    </xdr:to>
    <xdr:sp macro="" textlink="'indentor po'!F5">
      <xdr:nvSpPr>
        <xdr:cNvPr id="91" name="Rectangle: Rounded Corners 90">
          <a:extLst>
            <a:ext uri="{FF2B5EF4-FFF2-40B4-BE49-F238E27FC236}">
              <a16:creationId xmlns:a16="http://schemas.microsoft.com/office/drawing/2014/main" id="{00000000-0008-0000-0100-00005B000000}"/>
            </a:ext>
          </a:extLst>
        </xdr:cNvPr>
        <xdr:cNvSpPr/>
      </xdr:nvSpPr>
      <xdr:spPr>
        <a:xfrm>
          <a:off x="3051227" y="3161938"/>
          <a:ext cx="1069807" cy="34229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r"/>
          <a:fld id="{620A0547-BF95-4103-9C3B-63B157627C2B}"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lgn="r"/>
            <a:t> ₹ 24,63,800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2</xdr:col>
      <xdr:colOff>353036</xdr:colOff>
      <xdr:row>19</xdr:row>
      <xdr:rowOff>164398</xdr:rowOff>
    </xdr:from>
    <xdr:to>
      <xdr:col>3</xdr:col>
      <xdr:colOff>234202</xdr:colOff>
      <xdr:row>21</xdr:row>
      <xdr:rowOff>142256</xdr:rowOff>
    </xdr:to>
    <xdr:sp macro="" textlink="'indentor po'!F6">
      <xdr:nvSpPr>
        <xdr:cNvPr id="97" name="Rectangle: Rounded Corners 96">
          <a:extLst>
            <a:ext uri="{FF2B5EF4-FFF2-40B4-BE49-F238E27FC236}">
              <a16:creationId xmlns:a16="http://schemas.microsoft.com/office/drawing/2014/main" id="{00000000-0008-0000-0100-000061000000}"/>
            </a:ext>
          </a:extLst>
        </xdr:cNvPr>
        <xdr:cNvSpPr/>
      </xdr:nvSpPr>
      <xdr:spPr>
        <a:xfrm>
          <a:off x="3141159" y="3444311"/>
          <a:ext cx="979875" cy="342293"/>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r"/>
          <a:fld id="{53814370-9E84-4EE5-8E1A-9D04A3DF5B8E}" type="TxLink">
            <a:rPr lang="en-US" sz="1400" b="1" i="0" u="none" strike="noStrike">
              <a:solidFill>
                <a:schemeClr val="tx1">
                  <a:lumMod val="85000"/>
                  <a:lumOff val="15000"/>
                </a:schemeClr>
              </a:solidFill>
              <a:latin typeface="Agency FB" panose="020B0503020202020204" pitchFamily="34" charset="0"/>
              <a:ea typeface="Calibri"/>
              <a:cs typeface="Calibri"/>
            </a:rPr>
            <a:pPr marL="0" indent="0" algn="r"/>
            <a:t> ₹ 16,79,144 </a:t>
          </a:fld>
          <a:endParaRPr lang="en-IN" sz="1400" b="1" i="0" u="none" strike="noStrike">
            <a:solidFill>
              <a:schemeClr val="tx1">
                <a:lumMod val="85000"/>
                <a:lumOff val="15000"/>
              </a:schemeClr>
            </a:solidFill>
            <a:latin typeface="Agency FB" panose="020B0503020202020204" pitchFamily="34" charset="0"/>
            <a:ea typeface="Calibri"/>
            <a:cs typeface="Calibri"/>
          </a:endParaRPr>
        </a:p>
      </xdr:txBody>
    </xdr:sp>
    <xdr:clientData/>
  </xdr:twoCellAnchor>
  <xdr:twoCellAnchor editAs="absolute">
    <xdr:from>
      <xdr:col>7</xdr:col>
      <xdr:colOff>75721</xdr:colOff>
      <xdr:row>5</xdr:row>
      <xdr:rowOff>100033</xdr:rowOff>
    </xdr:from>
    <xdr:to>
      <xdr:col>8</xdr:col>
      <xdr:colOff>427903</xdr:colOff>
      <xdr:row>14</xdr:row>
      <xdr:rowOff>1296</xdr:rowOff>
    </xdr:to>
    <xdr:grpSp>
      <xdr:nvGrpSpPr>
        <xdr:cNvPr id="7182" name="quotation_value">
          <a:extLst>
            <a:ext uri="{FF2B5EF4-FFF2-40B4-BE49-F238E27FC236}">
              <a16:creationId xmlns:a16="http://schemas.microsoft.com/office/drawing/2014/main" id="{00000000-0008-0000-0100-00000E1C0000}"/>
            </a:ext>
          </a:extLst>
        </xdr:cNvPr>
        <xdr:cNvGrpSpPr/>
      </xdr:nvGrpSpPr>
      <xdr:grpSpPr>
        <a:xfrm>
          <a:off x="8685842" y="1022454"/>
          <a:ext cx="1923564" cy="1561621"/>
          <a:chOff x="8596238" y="824456"/>
          <a:chExt cx="1877068" cy="1566231"/>
        </a:xfrm>
        <a:solidFill>
          <a:srgbClr val="C1121F"/>
        </a:solidFill>
      </xdr:grpSpPr>
      <xdr:sp macro="" textlink="">
        <xdr:nvSpPr>
          <xdr:cNvPr id="7183" name="Rectangle: Rounded Corners 7182">
            <a:extLst>
              <a:ext uri="{FF2B5EF4-FFF2-40B4-BE49-F238E27FC236}">
                <a16:creationId xmlns:a16="http://schemas.microsoft.com/office/drawing/2014/main" id="{00000000-0008-0000-0100-00000F1C0000}"/>
              </a:ext>
            </a:extLst>
          </xdr:cNvPr>
          <xdr:cNvSpPr/>
        </xdr:nvSpPr>
        <xdr:spPr>
          <a:xfrm>
            <a:off x="8638730" y="824456"/>
            <a:ext cx="1834576" cy="1566231"/>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Quotation Value '!E3">
        <xdr:nvSpPr>
          <xdr:cNvPr id="7184" name="Rectangle: Rounded Corners 7183">
            <a:extLst>
              <a:ext uri="{FF2B5EF4-FFF2-40B4-BE49-F238E27FC236}">
                <a16:creationId xmlns:a16="http://schemas.microsoft.com/office/drawing/2014/main" id="{00000000-0008-0000-0100-0000101C0000}"/>
              </a:ext>
            </a:extLst>
          </xdr:cNvPr>
          <xdr:cNvSpPr/>
        </xdr:nvSpPr>
        <xdr:spPr>
          <a:xfrm>
            <a:off x="8861126" y="987819"/>
            <a:ext cx="1389492" cy="250549"/>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E3DD1EA-CB08-45B9-B826-2362DC4F58CA}" type="TxLink">
              <a:rPr lang="en-US" sz="1800" b="0" i="0" u="none" strike="noStrike">
                <a:solidFill>
                  <a:schemeClr val="bg1"/>
                </a:solidFill>
                <a:latin typeface="Agency FB" panose="020B0503020202020204" pitchFamily="34" charset="0"/>
                <a:ea typeface="Calibri"/>
                <a:cs typeface="Calibri"/>
              </a:rPr>
              <a:pPr algn="ctr"/>
              <a:t>Quotation Value </a:t>
            </a:fld>
            <a:endParaRPr lang="en-IN" sz="3200">
              <a:solidFill>
                <a:schemeClr val="bg1"/>
              </a:solidFill>
              <a:latin typeface="Agency FB" panose="020B0503020202020204" pitchFamily="34" charset="0"/>
              <a:ea typeface="+mn-ea"/>
              <a:cs typeface="+mn-cs"/>
            </a:endParaRPr>
          </a:p>
        </xdr:txBody>
      </xdr:sp>
      <xdr:sp macro="" textlink="'Quotation Value '!E16">
        <xdr:nvSpPr>
          <xdr:cNvPr id="7185" name="TextBox 7184">
            <a:extLst>
              <a:ext uri="{FF2B5EF4-FFF2-40B4-BE49-F238E27FC236}">
                <a16:creationId xmlns:a16="http://schemas.microsoft.com/office/drawing/2014/main" id="{00000000-0008-0000-0100-0000111C0000}"/>
              </a:ext>
            </a:extLst>
          </xdr:cNvPr>
          <xdr:cNvSpPr txBox="1"/>
        </xdr:nvSpPr>
        <xdr:spPr>
          <a:xfrm>
            <a:off x="8697907" y="1306641"/>
            <a:ext cx="1774723" cy="464261"/>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61D59844-558B-42F8-92FC-5628C73BC61F}" type="TxLink">
              <a:rPr lang="en-US" sz="2400" b="1" i="0" u="none" strike="noStrike">
                <a:solidFill>
                  <a:schemeClr val="bg1"/>
                </a:solidFill>
                <a:latin typeface="Agency FB" panose="020B0503020202020204" pitchFamily="34" charset="0"/>
                <a:ea typeface="Calibri"/>
                <a:cs typeface="Calibri"/>
              </a:rPr>
              <a:pPr marL="0" indent="0"/>
              <a:t> ₹ 69,73,036 </a:t>
            </a:fld>
            <a:endParaRPr lang="en-IN" sz="2400" b="1" i="0" u="none" strike="noStrike">
              <a:solidFill>
                <a:schemeClr val="bg1"/>
              </a:solidFill>
              <a:latin typeface="Agency FB" panose="020B0503020202020204" pitchFamily="34" charset="0"/>
              <a:ea typeface="Calibri"/>
              <a:cs typeface="Calibri"/>
            </a:endParaRPr>
          </a:p>
        </xdr:txBody>
      </xdr:sp>
      <xdr:sp macro="" textlink="'Quotation Value '!E3">
        <xdr:nvSpPr>
          <xdr:cNvPr id="7186" name="Rectangle: Rounded Corners 7185">
            <a:extLst>
              <a:ext uri="{FF2B5EF4-FFF2-40B4-BE49-F238E27FC236}">
                <a16:creationId xmlns:a16="http://schemas.microsoft.com/office/drawing/2014/main" id="{00000000-0008-0000-0100-0000121C0000}"/>
              </a:ext>
            </a:extLst>
          </xdr:cNvPr>
          <xdr:cNvSpPr/>
        </xdr:nvSpPr>
        <xdr:spPr>
          <a:xfrm>
            <a:off x="8596238" y="1810112"/>
            <a:ext cx="1141462" cy="33443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bg1"/>
                </a:solidFill>
                <a:latin typeface="Agency FB" panose="020B0503020202020204" pitchFamily="34" charset="0"/>
                <a:ea typeface="+mn-ea"/>
                <a:cs typeface="+mn-cs"/>
              </a:rPr>
              <a:t>Average</a:t>
            </a:r>
            <a:r>
              <a:rPr lang="en-IN" sz="1800" baseline="0">
                <a:solidFill>
                  <a:schemeClr val="bg1"/>
                </a:solidFill>
                <a:latin typeface="Agency FB" panose="020B0503020202020204" pitchFamily="34" charset="0"/>
                <a:ea typeface="+mn-ea"/>
                <a:cs typeface="+mn-cs"/>
              </a:rPr>
              <a:t> %</a:t>
            </a:r>
            <a:endParaRPr lang="en-IN" sz="1800">
              <a:solidFill>
                <a:schemeClr val="bg1"/>
              </a:solidFill>
              <a:latin typeface="Agency FB" panose="020B0503020202020204" pitchFamily="34" charset="0"/>
              <a:ea typeface="+mn-ea"/>
              <a:cs typeface="+mn-cs"/>
            </a:endParaRPr>
          </a:p>
        </xdr:txBody>
      </xdr:sp>
      <xdr:sp macro="" textlink="'Quotation Value '!F16">
        <xdr:nvSpPr>
          <xdr:cNvPr id="7187" name="TextBox 7186">
            <a:extLst>
              <a:ext uri="{FF2B5EF4-FFF2-40B4-BE49-F238E27FC236}">
                <a16:creationId xmlns:a16="http://schemas.microsoft.com/office/drawing/2014/main" id="{00000000-0008-0000-0100-0000131C0000}"/>
              </a:ext>
            </a:extLst>
          </xdr:cNvPr>
          <xdr:cNvSpPr txBox="1"/>
        </xdr:nvSpPr>
        <xdr:spPr>
          <a:xfrm>
            <a:off x="9560750" y="1808670"/>
            <a:ext cx="857441" cy="36856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4010155A-1CF5-49E6-86E1-2B5AD869E09E}" type="TxLink">
              <a:rPr lang="en-US" sz="1800" b="1" i="0" u="none" strike="noStrike">
                <a:solidFill>
                  <a:schemeClr val="bg1"/>
                </a:solidFill>
                <a:latin typeface="Agency FB" panose="020B0503020202020204" pitchFamily="34" charset="0"/>
                <a:ea typeface="Calibri"/>
                <a:cs typeface="Calibri"/>
              </a:rPr>
              <a:pPr marL="0" indent="0"/>
              <a:t>100.00%</a:t>
            </a:fld>
            <a:endParaRPr lang="en-IN" sz="2800" b="1" i="0" u="none" strike="noStrike">
              <a:solidFill>
                <a:schemeClr val="bg1"/>
              </a:solidFill>
              <a:latin typeface="Agency FB" panose="020B0503020202020204" pitchFamily="34" charset="0"/>
              <a:ea typeface="Calibri"/>
              <a:cs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7</xdr:col>
          <xdr:colOff>83820</xdr:colOff>
          <xdr:row>5</xdr:row>
          <xdr:rowOff>144780</xdr:rowOff>
        </xdr:from>
        <xdr:to>
          <xdr:col>8</xdr:col>
          <xdr:colOff>396240</xdr:colOff>
          <xdr:row>13</xdr:row>
          <xdr:rowOff>144780</xdr:rowOff>
        </xdr:to>
        <xdr:sp macro="" textlink="">
          <xdr:nvSpPr>
            <xdr:cNvPr id="7179" name="Label2"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198120</xdr:colOff>
          <xdr:row>7</xdr:row>
          <xdr:rowOff>160020</xdr:rowOff>
        </xdr:from>
        <xdr:to>
          <xdr:col>8</xdr:col>
          <xdr:colOff>327660</xdr:colOff>
          <xdr:row>11</xdr:row>
          <xdr:rowOff>99060</xdr:rowOff>
        </xdr:to>
        <xdr:sp macro="" textlink="">
          <xdr:nvSpPr>
            <xdr:cNvPr id="7178" name="Label1"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459269</xdr:colOff>
      <xdr:row>5</xdr:row>
      <xdr:rowOff>92082</xdr:rowOff>
    </xdr:from>
    <xdr:to>
      <xdr:col>8</xdr:col>
      <xdr:colOff>459269</xdr:colOff>
      <xdr:row>13</xdr:row>
      <xdr:rowOff>177042</xdr:rowOff>
    </xdr:to>
    <xdr:grpSp>
      <xdr:nvGrpSpPr>
        <xdr:cNvPr id="7202" name="transaction">
          <a:extLst>
            <a:ext uri="{FF2B5EF4-FFF2-40B4-BE49-F238E27FC236}">
              <a16:creationId xmlns:a16="http://schemas.microsoft.com/office/drawing/2014/main" id="{00000000-0008-0000-0100-0000221C0000}"/>
            </a:ext>
          </a:extLst>
        </xdr:cNvPr>
        <xdr:cNvGrpSpPr/>
      </xdr:nvGrpSpPr>
      <xdr:grpSpPr>
        <a:xfrm>
          <a:off x="10672138" y="1014503"/>
          <a:ext cx="0" cy="1560834"/>
          <a:chOff x="10550038" y="808665"/>
          <a:chExt cx="1831274" cy="1549890"/>
        </a:xfrm>
      </xdr:grpSpPr>
      <xdr:sp macro="" textlink="">
        <xdr:nvSpPr>
          <xdr:cNvPr id="7203" name="Rectangle: Rounded Corners 7202">
            <a:extLst>
              <a:ext uri="{FF2B5EF4-FFF2-40B4-BE49-F238E27FC236}">
                <a16:creationId xmlns:a16="http://schemas.microsoft.com/office/drawing/2014/main" id="{00000000-0008-0000-0100-0000231C0000}"/>
              </a:ext>
            </a:extLst>
          </xdr:cNvPr>
          <xdr:cNvSpPr/>
        </xdr:nvSpPr>
        <xdr:spPr>
          <a:xfrm>
            <a:off x="10550038" y="808665"/>
            <a:ext cx="1831274" cy="1549890"/>
          </a:xfrm>
          <a:prstGeom prst="round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PO Value'!E3">
        <xdr:nvSpPr>
          <xdr:cNvPr id="7204" name="Text Box 1">
            <a:extLst>
              <a:ext uri="{FF2B5EF4-FFF2-40B4-BE49-F238E27FC236}">
                <a16:creationId xmlns:a16="http://schemas.microsoft.com/office/drawing/2014/main" id="{00000000-0008-0000-0100-0000241C0000}"/>
              </a:ext>
            </a:extLst>
          </xdr:cNvPr>
          <xdr:cNvSpPr txBox="1">
            <a:spLocks noChangeArrowheads="1"/>
          </xdr:cNvSpPr>
        </xdr:nvSpPr>
        <xdr:spPr bwMode="auto">
          <a:xfrm flipH="1">
            <a:off x="10843866" y="1111528"/>
            <a:ext cx="1225469" cy="1917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defRPr sz="1000"/>
            </a:pPr>
            <a:fld id="{43203B06-A79B-4377-A802-84B5E9CC28F8}" type="TxLink">
              <a:rPr lang="en-US" sz="2000" b="0" i="0" u="none" strike="noStrike">
                <a:solidFill>
                  <a:schemeClr val="bg1"/>
                </a:solidFill>
                <a:latin typeface="Agency FB" panose="020B0503020202020204" pitchFamily="34" charset="0"/>
                <a:ea typeface="Calibri"/>
                <a:cs typeface="Calibri"/>
              </a:rPr>
              <a:pPr marL="0" indent="0" algn="ctr" rtl="0">
                <a:defRPr sz="1000"/>
              </a:pPr>
              <a:t>PO Value</a:t>
            </a:fld>
            <a:endParaRPr lang="en-IN" sz="2000" b="0" i="0" u="none" strike="noStrike">
              <a:solidFill>
                <a:schemeClr val="bg1"/>
              </a:solidFill>
              <a:latin typeface="Agency FB" panose="020B0503020202020204" pitchFamily="34" charset="0"/>
              <a:ea typeface="Calibri"/>
              <a:cs typeface="Calibri"/>
            </a:endParaRPr>
          </a:p>
        </xdr:txBody>
      </xdr:sp>
      <xdr:sp macro="" textlink="'PO Value'!E16">
        <xdr:nvSpPr>
          <xdr:cNvPr id="7205" name="TextBox 7204">
            <a:extLst>
              <a:ext uri="{FF2B5EF4-FFF2-40B4-BE49-F238E27FC236}">
                <a16:creationId xmlns:a16="http://schemas.microsoft.com/office/drawing/2014/main" id="{00000000-0008-0000-0100-0000251C0000}"/>
              </a:ext>
            </a:extLst>
          </xdr:cNvPr>
          <xdr:cNvSpPr txBox="1"/>
        </xdr:nvSpPr>
        <xdr:spPr>
          <a:xfrm>
            <a:off x="10621155" y="1430493"/>
            <a:ext cx="1687411" cy="4829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9050A66-5FF8-4CB5-A8AC-2C5119620CCD}" type="TxLink">
              <a:rPr lang="en-US" sz="2400" b="1" i="0" u="none" strike="noStrike">
                <a:solidFill>
                  <a:schemeClr val="bg1"/>
                </a:solidFill>
                <a:latin typeface="Agency FB" panose="020B0503020202020204" pitchFamily="34" charset="0"/>
                <a:ea typeface="Calibri"/>
                <a:cs typeface="Calibri"/>
              </a:rPr>
              <a:pPr marL="0" indent="0"/>
              <a:t> ₹ 65,47,698 </a:t>
            </a:fld>
            <a:endParaRPr lang="en-IN" sz="2400" b="1" i="0" u="none" strike="noStrike">
              <a:solidFill>
                <a:schemeClr val="bg1"/>
              </a:solidFill>
              <a:latin typeface="Agency FB" panose="020B0503020202020204" pitchFamily="34" charset="0"/>
              <a:ea typeface="Calibri"/>
              <a:cs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464820</xdr:colOff>
          <xdr:row>5</xdr:row>
          <xdr:rowOff>160020</xdr:rowOff>
        </xdr:from>
        <xdr:to>
          <xdr:col>10</xdr:col>
          <xdr:colOff>129540</xdr:colOff>
          <xdr:row>13</xdr:row>
          <xdr:rowOff>137160</xdr:rowOff>
        </xdr:to>
        <xdr:sp macro="" textlink="">
          <xdr:nvSpPr>
            <xdr:cNvPr id="7169" name="Label4" hidden="1">
              <a:extLst>
                <a:ext uri="{63B3BB69-23CF-44E3-9099-C40C66FF867C}">
                  <a14:compatExt spid="_x0000_s7186"/>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548640</xdr:colOff>
          <xdr:row>7</xdr:row>
          <xdr:rowOff>22860</xdr:rowOff>
        </xdr:from>
        <xdr:to>
          <xdr:col>10</xdr:col>
          <xdr:colOff>45720</xdr:colOff>
          <xdr:row>11</xdr:row>
          <xdr:rowOff>160020</xdr:rowOff>
        </xdr:to>
        <xdr:sp macro="" textlink="">
          <xdr:nvSpPr>
            <xdr:cNvPr id="7170" name="Label3" hidden="1">
              <a:extLst>
                <a:ext uri="{63B3BB69-23CF-44E3-9099-C40C66FF867C}">
                  <a14:compatExt spid="_x0000_s7185"/>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199217</xdr:colOff>
      <xdr:row>5</xdr:row>
      <xdr:rowOff>100012</xdr:rowOff>
    </xdr:from>
    <xdr:to>
      <xdr:col>10</xdr:col>
      <xdr:colOff>199217</xdr:colOff>
      <xdr:row>14</xdr:row>
      <xdr:rowOff>2092</xdr:rowOff>
    </xdr:to>
    <xdr:grpSp>
      <xdr:nvGrpSpPr>
        <xdr:cNvPr id="7209" name="amount_saved">
          <a:extLst>
            <a:ext uri="{FF2B5EF4-FFF2-40B4-BE49-F238E27FC236}">
              <a16:creationId xmlns:a16="http://schemas.microsoft.com/office/drawing/2014/main" id="{00000000-0008-0000-0100-0000291C0000}"/>
            </a:ext>
          </a:extLst>
        </xdr:cNvPr>
        <xdr:cNvGrpSpPr/>
      </xdr:nvGrpSpPr>
      <xdr:grpSpPr>
        <a:xfrm>
          <a:off x="12590434" y="1022433"/>
          <a:ext cx="0" cy="1562438"/>
          <a:chOff x="12468092" y="839145"/>
          <a:chExt cx="1833637" cy="1550127"/>
        </a:xfrm>
        <a:solidFill>
          <a:srgbClr val="669BBC"/>
        </a:solidFill>
      </xdr:grpSpPr>
      <xdr:sp macro="" textlink="">
        <xdr:nvSpPr>
          <xdr:cNvPr id="7210" name="Rectangle: Rounded Corners 7209">
            <a:extLst>
              <a:ext uri="{FF2B5EF4-FFF2-40B4-BE49-F238E27FC236}">
                <a16:creationId xmlns:a16="http://schemas.microsoft.com/office/drawing/2014/main" id="{00000000-0008-0000-0100-00002A1C0000}"/>
              </a:ext>
            </a:extLst>
          </xdr:cNvPr>
          <xdr:cNvSpPr/>
        </xdr:nvSpPr>
        <xdr:spPr>
          <a:xfrm>
            <a:off x="12468092" y="839145"/>
            <a:ext cx="1833637" cy="1550127"/>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Amount Saved'!E3">
        <xdr:nvSpPr>
          <xdr:cNvPr id="7211" name="Text Box 1">
            <a:extLst>
              <a:ext uri="{FF2B5EF4-FFF2-40B4-BE49-F238E27FC236}">
                <a16:creationId xmlns:a16="http://schemas.microsoft.com/office/drawing/2014/main" id="{00000000-0008-0000-0100-00002B1C0000}"/>
              </a:ext>
            </a:extLst>
          </xdr:cNvPr>
          <xdr:cNvSpPr txBox="1">
            <a:spLocks noChangeArrowheads="1"/>
          </xdr:cNvSpPr>
        </xdr:nvSpPr>
        <xdr:spPr bwMode="auto">
          <a:xfrm flipH="1">
            <a:off x="12672327" y="1145610"/>
            <a:ext cx="1427066" cy="32485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defRPr sz="1000"/>
            </a:pPr>
            <a:fld id="{E939C702-7AA1-4537-A686-69A97DC6BE0D}" type="TxLink">
              <a:rPr lang="en-US" sz="2000" b="0" i="0" u="none" strike="noStrike">
                <a:solidFill>
                  <a:schemeClr val="bg1"/>
                </a:solidFill>
                <a:latin typeface="Agency FB" panose="020B0503020202020204" pitchFamily="34" charset="0"/>
                <a:ea typeface="Calibri"/>
                <a:cs typeface="Calibri"/>
              </a:rPr>
              <a:pPr marL="0" indent="0" algn="ctr" rtl="0">
                <a:defRPr sz="1000"/>
              </a:pPr>
              <a:t>Amount Saved</a:t>
            </a:fld>
            <a:endParaRPr lang="en-IN" sz="2000" b="0" i="0" u="none" strike="noStrike">
              <a:solidFill>
                <a:schemeClr val="bg1"/>
              </a:solidFill>
              <a:latin typeface="Agency FB" panose="020B0503020202020204" pitchFamily="34" charset="0"/>
              <a:ea typeface="Calibri"/>
              <a:cs typeface="Calibri"/>
            </a:endParaRPr>
          </a:p>
        </xdr:txBody>
      </xdr:sp>
      <xdr:sp macro="" textlink="'Amount Saved'!E16">
        <xdr:nvSpPr>
          <xdr:cNvPr id="7212" name="TextBox 7211">
            <a:extLst>
              <a:ext uri="{FF2B5EF4-FFF2-40B4-BE49-F238E27FC236}">
                <a16:creationId xmlns:a16="http://schemas.microsoft.com/office/drawing/2014/main" id="{00000000-0008-0000-0100-00002C1C0000}"/>
              </a:ext>
            </a:extLst>
          </xdr:cNvPr>
          <xdr:cNvSpPr txBox="1"/>
        </xdr:nvSpPr>
        <xdr:spPr>
          <a:xfrm>
            <a:off x="12603564" y="1499440"/>
            <a:ext cx="1459989" cy="473774"/>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6F12B1B-4F1F-4FCD-B406-907E89F6B7E5}" type="TxLink">
              <a:rPr lang="en-US" sz="2400" b="1" i="0" u="none" strike="noStrike">
                <a:solidFill>
                  <a:schemeClr val="bg1"/>
                </a:solidFill>
                <a:latin typeface="Agency FB" panose="020B0503020202020204" pitchFamily="34" charset="0"/>
                <a:ea typeface="Calibri"/>
                <a:cs typeface="Calibri"/>
              </a:rPr>
              <a:pPr marL="0" indent="0"/>
              <a:t> ₹ 4,25,338 </a:t>
            </a:fld>
            <a:endParaRPr lang="en-IN" sz="2400" b="1" i="0" u="none" strike="noStrike">
              <a:solidFill>
                <a:schemeClr val="bg1"/>
              </a:solidFill>
              <a:latin typeface="Agency FB" panose="020B0503020202020204" pitchFamily="34" charset="0"/>
              <a:ea typeface="Calibri"/>
              <a:cs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10</xdr:col>
          <xdr:colOff>228600</xdr:colOff>
          <xdr:row>6</xdr:row>
          <xdr:rowOff>0</xdr:rowOff>
        </xdr:from>
        <xdr:to>
          <xdr:col>11</xdr:col>
          <xdr:colOff>472440</xdr:colOff>
          <xdr:row>13</xdr:row>
          <xdr:rowOff>129540</xdr:rowOff>
        </xdr:to>
        <xdr:sp macro="" textlink="">
          <xdr:nvSpPr>
            <xdr:cNvPr id="7188" name="Label6"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335280</xdr:colOff>
          <xdr:row>7</xdr:row>
          <xdr:rowOff>76200</xdr:rowOff>
        </xdr:from>
        <xdr:to>
          <xdr:col>11</xdr:col>
          <xdr:colOff>373380</xdr:colOff>
          <xdr:row>11</xdr:row>
          <xdr:rowOff>83820</xdr:rowOff>
        </xdr:to>
        <xdr:sp macro="" textlink="">
          <xdr:nvSpPr>
            <xdr:cNvPr id="7168" name="Label5" hidden="1">
              <a:extLst>
                <a:ext uri="{63B3BB69-23CF-44E3-9099-C40C66FF867C}">
                  <a14:compatExt spid="_x0000_s7187"/>
                </a:ext>
                <a:ext uri="{FF2B5EF4-FFF2-40B4-BE49-F238E27FC236}">
                  <a16:creationId xmlns:a16="http://schemas.microsoft.com/office/drawing/2014/main" id="{00000000-0008-0000-0100-00000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73672</xdr:colOff>
      <xdr:row>4</xdr:row>
      <xdr:rowOff>138973</xdr:rowOff>
    </xdr:from>
    <xdr:to>
      <xdr:col>1</xdr:col>
      <xdr:colOff>360047</xdr:colOff>
      <xdr:row>11</xdr:row>
      <xdr:rowOff>144780</xdr:rowOff>
    </xdr:to>
    <mc:AlternateContent xmlns:mc="http://schemas.openxmlformats.org/markup-compatibility/2006" xmlns:a14="http://schemas.microsoft.com/office/drawing/2010/main">
      <mc:Choice Requires="a14">
        <xdr:graphicFrame macro="">
          <xdr:nvGraphicFramePr>
            <xdr:cNvPr id="7172" name="Indentor">
              <a:extLst>
                <a:ext uri="{FF2B5EF4-FFF2-40B4-BE49-F238E27FC236}">
                  <a16:creationId xmlns:a16="http://schemas.microsoft.com/office/drawing/2014/main" id="{00000000-0008-0000-0100-0000041C0000}"/>
                </a:ext>
              </a:extLst>
            </xdr:cNvPr>
            <xdr:cNvGraphicFramePr/>
          </xdr:nvGraphicFramePr>
          <xdr:xfrm>
            <a:off x="0" y="0"/>
            <a:ext cx="0" cy="0"/>
          </xdr:xfrm>
          <a:graphic>
            <a:graphicData uri="http://schemas.microsoft.com/office/drawing/2010/slicer">
              <sle:slicer xmlns:sle="http://schemas.microsoft.com/office/drawing/2010/slicer" name="Indentor"/>
            </a:graphicData>
          </a:graphic>
        </xdr:graphicFrame>
      </mc:Choice>
      <mc:Fallback xmlns="">
        <xdr:sp macro="" textlink="">
          <xdr:nvSpPr>
            <xdr:cNvPr id="0" name=""/>
            <xdr:cNvSpPr>
              <a:spLocks noTextEdit="1"/>
            </xdr:cNvSpPr>
          </xdr:nvSpPr>
          <xdr:spPr>
            <a:xfrm>
              <a:off x="147344" y="876910"/>
              <a:ext cx="1791950" cy="12971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67784</xdr:colOff>
      <xdr:row>17</xdr:row>
      <xdr:rowOff>1033</xdr:rowOff>
    </xdr:from>
    <xdr:to>
      <xdr:col>1</xdr:col>
      <xdr:colOff>365934</xdr:colOff>
      <xdr:row>37</xdr:row>
      <xdr:rowOff>68580</xdr:rowOff>
    </xdr:to>
    <mc:AlternateContent xmlns:mc="http://schemas.openxmlformats.org/markup-compatibility/2006" xmlns:a14="http://schemas.microsoft.com/office/drawing/2010/main">
      <mc:Choice Requires="a14">
        <xdr:graphicFrame macro="">
          <xdr:nvGraphicFramePr>
            <xdr:cNvPr id="7173" name="Months (Month)">
              <a:extLst>
                <a:ext uri="{FF2B5EF4-FFF2-40B4-BE49-F238E27FC236}">
                  <a16:creationId xmlns:a16="http://schemas.microsoft.com/office/drawing/2014/main" id="{00000000-0008-0000-0100-0000051C0000}"/>
                </a:ext>
              </a:extLst>
            </xdr:cNvPr>
            <xdr:cNvGraphicFramePr/>
          </xdr:nvGraphicFramePr>
          <xdr:xfrm>
            <a:off x="0" y="0"/>
            <a:ext cx="0" cy="0"/>
          </xdr:xfrm>
          <a:graphic>
            <a:graphicData uri="http://schemas.microsoft.com/office/drawing/2010/slicer">
              <sle:slicer xmlns:sle="http://schemas.microsoft.com/office/drawing/2010/slicer" name="Months (Month)"/>
            </a:graphicData>
          </a:graphic>
        </xdr:graphicFrame>
      </mc:Choice>
      <mc:Fallback xmlns="">
        <xdr:sp macro="" textlink="">
          <xdr:nvSpPr>
            <xdr:cNvPr id="0" name=""/>
            <xdr:cNvSpPr>
              <a:spLocks noTextEdit="1"/>
            </xdr:cNvSpPr>
          </xdr:nvSpPr>
          <xdr:spPr>
            <a:xfrm>
              <a:off x="135568" y="3137265"/>
              <a:ext cx="1815500" cy="37572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44750</xdr:colOff>
      <xdr:row>11</xdr:row>
      <xdr:rowOff>117459</xdr:rowOff>
    </xdr:from>
    <xdr:to>
      <xdr:col>1</xdr:col>
      <xdr:colOff>360047</xdr:colOff>
      <xdr:row>17</xdr:row>
      <xdr:rowOff>53340</xdr:rowOff>
    </xdr:to>
    <mc:AlternateContent xmlns:mc="http://schemas.openxmlformats.org/markup-compatibility/2006" xmlns:a14="http://schemas.microsoft.com/office/drawing/2010/main">
      <mc:Choice Requires="a14">
        <xdr:graphicFrame macro="">
          <xdr:nvGraphicFramePr>
            <xdr:cNvPr id="7174" name="Years (Month)">
              <a:extLst>
                <a:ext uri="{FF2B5EF4-FFF2-40B4-BE49-F238E27FC236}">
                  <a16:creationId xmlns:a16="http://schemas.microsoft.com/office/drawing/2014/main" id="{00000000-0008-0000-0100-0000061C0000}"/>
                </a:ext>
              </a:extLst>
            </xdr:cNvPr>
            <xdr:cNvGraphicFramePr/>
          </xdr:nvGraphicFramePr>
          <xdr:xfrm>
            <a:off x="0" y="0"/>
            <a:ext cx="0" cy="0"/>
          </xdr:xfrm>
          <a:graphic>
            <a:graphicData uri="http://schemas.microsoft.com/office/drawing/2010/slicer">
              <sle:slicer xmlns:sle="http://schemas.microsoft.com/office/drawing/2010/slicer" name="Years (Month)"/>
            </a:graphicData>
          </a:graphic>
        </xdr:graphicFrame>
      </mc:Choice>
      <mc:Fallback xmlns="">
        <xdr:sp macro="" textlink="">
          <xdr:nvSpPr>
            <xdr:cNvPr id="0" name=""/>
            <xdr:cNvSpPr>
              <a:spLocks noTextEdit="1"/>
            </xdr:cNvSpPr>
          </xdr:nvSpPr>
          <xdr:spPr>
            <a:xfrm>
              <a:off x="89500" y="2146785"/>
              <a:ext cx="1849794" cy="10427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92242</xdr:colOff>
      <xdr:row>0</xdr:row>
      <xdr:rowOff>159969</xdr:rowOff>
    </xdr:from>
    <xdr:to>
      <xdr:col>0</xdr:col>
      <xdr:colOff>413084</xdr:colOff>
      <xdr:row>3</xdr:row>
      <xdr:rowOff>86295</xdr:rowOff>
    </xdr:to>
    <xdr:pic>
      <xdr:nvPicPr>
        <xdr:cNvPr id="7175" name="Picture 7174">
          <a:extLst>
            <a:ext uri="{FF2B5EF4-FFF2-40B4-BE49-F238E27FC236}">
              <a16:creationId xmlns:a16="http://schemas.microsoft.com/office/drawing/2014/main" id="{00000000-0008-0000-0100-0000071C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837473B0-CC2E-450A-ABE3-18F120FF3D39}">
              <a1611:picAttrSrcUrl xmlns:a1611="http://schemas.microsoft.com/office/drawing/2016/11/main" r:id="rId12"/>
            </a:ext>
          </a:extLst>
        </a:blip>
        <a:stretch>
          <a:fillRect/>
        </a:stretch>
      </xdr:blipFill>
      <xdr:spPr>
        <a:xfrm>
          <a:off x="184484" y="159969"/>
          <a:ext cx="641684" cy="479779"/>
        </a:xfrm>
        <a:prstGeom prst="rect">
          <a:avLst/>
        </a:prstGeom>
      </xdr:spPr>
    </xdr:pic>
    <xdr:clientData/>
  </xdr:twoCellAnchor>
  <xdr:twoCellAnchor editAs="absolute">
    <xdr:from>
      <xdr:col>0</xdr:col>
      <xdr:colOff>0</xdr:colOff>
      <xdr:row>4</xdr:row>
      <xdr:rowOff>5329</xdr:rowOff>
    </xdr:from>
    <xdr:to>
      <xdr:col>1</xdr:col>
      <xdr:colOff>407643</xdr:colOff>
      <xdr:row>4</xdr:row>
      <xdr:rowOff>10658</xdr:rowOff>
    </xdr:to>
    <xdr:cxnSp macro="">
      <xdr:nvCxnSpPr>
        <xdr:cNvPr id="7176" name="Straight Connector 7175">
          <a:extLst>
            <a:ext uri="{FF2B5EF4-FFF2-40B4-BE49-F238E27FC236}">
              <a16:creationId xmlns:a16="http://schemas.microsoft.com/office/drawing/2014/main" id="{00000000-0008-0000-0100-0000081C0000}"/>
            </a:ext>
          </a:extLst>
        </xdr:cNvPr>
        <xdr:cNvCxnSpPr/>
      </xdr:nvCxnSpPr>
      <xdr:spPr>
        <a:xfrm flipH="1" flipV="1">
          <a:off x="0" y="730028"/>
          <a:ext cx="2035552" cy="5329"/>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365096</xdr:colOff>
      <xdr:row>0</xdr:row>
      <xdr:rowOff>0</xdr:rowOff>
    </xdr:from>
    <xdr:to>
      <xdr:col>4</xdr:col>
      <xdr:colOff>270387</xdr:colOff>
      <xdr:row>4</xdr:row>
      <xdr:rowOff>40968</xdr:rowOff>
    </xdr:to>
    <xdr:sp macro="" textlink="">
      <xdr:nvSpPr>
        <xdr:cNvPr id="7177" name="TextBox 7176">
          <a:extLst>
            <a:ext uri="{FF2B5EF4-FFF2-40B4-BE49-F238E27FC236}">
              <a16:creationId xmlns:a16="http://schemas.microsoft.com/office/drawing/2014/main" id="{00000000-0008-0000-0100-0000091C0000}"/>
            </a:ext>
          </a:extLst>
        </xdr:cNvPr>
        <xdr:cNvSpPr txBox="1"/>
      </xdr:nvSpPr>
      <xdr:spPr>
        <a:xfrm>
          <a:off x="730192" y="0"/>
          <a:ext cx="4687382" cy="778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a:solidFill>
                <a:schemeClr val="bg1"/>
              </a:solidFill>
              <a:effectLst>
                <a:outerShdw blurRad="50800" dist="38100" algn="l" rotWithShape="0">
                  <a:prstClr val="black">
                    <a:alpha val="40000"/>
                  </a:prstClr>
                </a:outerShdw>
              </a:effectLst>
              <a:latin typeface="Agency FB" panose="020B0503020202020204" pitchFamily="34" charset="0"/>
            </a:rPr>
            <a:t>R</a:t>
          </a:r>
          <a:r>
            <a:rPr lang="en-IN" sz="3600" b="1">
              <a:solidFill>
                <a:schemeClr val="bg1"/>
              </a:solidFill>
              <a:effectLst>
                <a:outerShdw blurRad="50800" dist="38100" algn="l" rotWithShape="0">
                  <a:prstClr val="black">
                    <a:alpha val="40000"/>
                  </a:prstClr>
                </a:outerShdw>
              </a:effectLst>
              <a:latin typeface="Agency FB" panose="020B0503020202020204" pitchFamily="34" charset="0"/>
            </a:rPr>
            <a:t>ainbow Home Appliances</a:t>
          </a:r>
        </a:p>
      </xdr:txBody>
    </xdr:sp>
    <xdr:clientData/>
  </xdr:twoCellAnchor>
  <xdr:twoCellAnchor editAs="absolute">
    <xdr:from>
      <xdr:col>10</xdr:col>
      <xdr:colOff>248652</xdr:colOff>
      <xdr:row>1</xdr:row>
      <xdr:rowOff>144379</xdr:rowOff>
    </xdr:from>
    <xdr:to>
      <xdr:col>12</xdr:col>
      <xdr:colOff>36094</xdr:colOff>
      <xdr:row>3</xdr:row>
      <xdr:rowOff>160420</xdr:rowOff>
    </xdr:to>
    <xdr:sp macro="" textlink="">
      <xdr:nvSpPr>
        <xdr:cNvPr id="7180" name="TextBox 7179">
          <a:extLst>
            <a:ext uri="{FF2B5EF4-FFF2-40B4-BE49-F238E27FC236}">
              <a16:creationId xmlns:a16="http://schemas.microsoft.com/office/drawing/2014/main" id="{00000000-0008-0000-0100-00000C1C0000}"/>
            </a:ext>
          </a:extLst>
        </xdr:cNvPr>
        <xdr:cNvSpPr txBox="1"/>
      </xdr:nvSpPr>
      <xdr:spPr>
        <a:xfrm>
          <a:off x="12689305" y="328863"/>
          <a:ext cx="2013283" cy="38501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latin typeface="Agency FB" panose="020B0503020202020204" pitchFamily="34" charset="0"/>
            </a:rPr>
            <a:t>Ph : 91-1234567890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236220</xdr:colOff>
      <xdr:row>1</xdr:row>
      <xdr:rowOff>171450</xdr:rowOff>
    </xdr:from>
    <xdr:to>
      <xdr:col>13</xdr:col>
      <xdr:colOff>434340</xdr:colOff>
      <xdr:row>8</xdr:row>
      <xdr:rowOff>160020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358140</xdr:colOff>
      <xdr:row>3</xdr:row>
      <xdr:rowOff>72390</xdr:rowOff>
    </xdr:from>
    <xdr:to>
      <xdr:col>16</xdr:col>
      <xdr:colOff>396240</xdr:colOff>
      <xdr:row>16</xdr:row>
      <xdr:rowOff>144780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259080</xdr:colOff>
      <xdr:row>16</xdr:row>
      <xdr:rowOff>148590</xdr:rowOff>
    </xdr:from>
    <xdr:to>
      <xdr:col>9</xdr:col>
      <xdr:colOff>358140</xdr:colOff>
      <xdr:row>22</xdr:row>
      <xdr:rowOff>160020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763385</xdr:colOff>
      <xdr:row>19</xdr:row>
      <xdr:rowOff>692</xdr:rowOff>
    </xdr:from>
    <xdr:to>
      <xdr:col>14</xdr:col>
      <xdr:colOff>402474</xdr:colOff>
      <xdr:row>26</xdr:row>
      <xdr:rowOff>161752</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449580</xdr:colOff>
      <xdr:row>11</xdr:row>
      <xdr:rowOff>179070</xdr:rowOff>
    </xdr:from>
    <xdr:to>
      <xdr:col>10</xdr:col>
      <xdr:colOff>53340</xdr:colOff>
      <xdr:row>26</xdr:row>
      <xdr:rowOff>7620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548640</xdr:colOff>
      <xdr:row>6</xdr:row>
      <xdr:rowOff>41910</xdr:rowOff>
    </xdr:from>
    <xdr:to>
      <xdr:col>12</xdr:col>
      <xdr:colOff>83820</xdr:colOff>
      <xdr:row>21</xdr:row>
      <xdr:rowOff>41910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106680</xdr:colOff>
      <xdr:row>2</xdr:row>
      <xdr:rowOff>167640</xdr:rowOff>
    </xdr:from>
    <xdr:to>
      <xdr:col>7</xdr:col>
      <xdr:colOff>472440</xdr:colOff>
      <xdr:row>5</xdr:row>
      <xdr:rowOff>121920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3154680" y="533400"/>
          <a:ext cx="1584960" cy="5029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lumMod val="65000"/>
                  <a:lumOff val="35000"/>
                </a:schemeClr>
              </a:solidFill>
              <a:latin typeface="Agency FB" panose="020B0503020202020204" pitchFamily="34" charset="0"/>
            </a:rPr>
            <a:t>Savings  </a:t>
          </a:r>
          <a:r>
            <a:rPr lang="en-IN" sz="1800">
              <a:solidFill>
                <a:schemeClr val="tx1">
                  <a:lumMod val="85000"/>
                  <a:lumOff val="15000"/>
                </a:schemeClr>
              </a:solidFill>
              <a:latin typeface="Agency FB" panose="020B0503020202020204" pitchFamily="34" charset="0"/>
            </a:rPr>
            <a:t>2022</a:t>
          </a:r>
          <a:endParaRPr lang="en-IN" sz="1100">
            <a:solidFill>
              <a:schemeClr val="tx1">
                <a:lumMod val="85000"/>
                <a:lumOff val="15000"/>
              </a:schemeClr>
            </a:solidFill>
            <a:latin typeface="Agency FB" panose="020B0503020202020204" pitchFamily="34" charset="0"/>
          </a:endParaRPr>
        </a:p>
      </xdr:txBody>
    </xdr:sp>
    <xdr:clientData/>
  </xdr:twoCellAnchor>
  <xdr:twoCellAnchor>
    <xdr:from>
      <xdr:col>5</xdr:col>
      <xdr:colOff>144780</xdr:colOff>
      <xdr:row>3</xdr:row>
      <xdr:rowOff>175260</xdr:rowOff>
    </xdr:from>
    <xdr:to>
      <xdr:col>5</xdr:col>
      <xdr:colOff>304800</xdr:colOff>
      <xdr:row>4</xdr:row>
      <xdr:rowOff>152400</xdr:rowOff>
    </xdr:to>
    <xdr:sp macro="" textlink="">
      <xdr:nvSpPr>
        <xdr:cNvPr id="3" name="Flowchart: Connector 2">
          <a:extLst>
            <a:ext uri="{FF2B5EF4-FFF2-40B4-BE49-F238E27FC236}">
              <a16:creationId xmlns:a16="http://schemas.microsoft.com/office/drawing/2014/main" id="{00000000-0008-0000-0D00-000003000000}"/>
            </a:ext>
          </a:extLst>
        </xdr:cNvPr>
        <xdr:cNvSpPr/>
      </xdr:nvSpPr>
      <xdr:spPr>
        <a:xfrm>
          <a:off x="3192780" y="723900"/>
          <a:ext cx="160020" cy="160020"/>
        </a:xfrm>
        <a:prstGeom prst="flowChartConnector">
          <a:avLst/>
        </a:prstGeom>
        <a:solidFill>
          <a:srgbClr val="C112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0</xdr:colOff>
      <xdr:row>8</xdr:row>
      <xdr:rowOff>0</xdr:rowOff>
    </xdr:from>
    <xdr:to>
      <xdr:col>13</xdr:col>
      <xdr:colOff>175260</xdr:colOff>
      <xdr:row>9</xdr:row>
      <xdr:rowOff>68580</xdr:rowOff>
    </xdr:to>
    <xdr:sp macro="" textlink="">
      <xdr:nvSpPr>
        <xdr:cNvPr id="6" name="Rectangle: Rounded Corners 5">
          <a:extLst>
            <a:ext uri="{FF2B5EF4-FFF2-40B4-BE49-F238E27FC236}">
              <a16:creationId xmlns:a16="http://schemas.microsoft.com/office/drawing/2014/main" id="{00000000-0008-0000-0D00-000006000000}"/>
            </a:ext>
          </a:extLst>
        </xdr:cNvPr>
        <xdr:cNvSpPr/>
      </xdr:nvSpPr>
      <xdr:spPr>
        <a:xfrm>
          <a:off x="6705600" y="1463040"/>
          <a:ext cx="1394460" cy="25146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lumMod val="65000"/>
                  <a:lumOff val="35000"/>
                </a:schemeClr>
              </a:solidFill>
              <a:latin typeface="Agency FB" panose="020B0503020202020204" pitchFamily="34" charset="0"/>
              <a:ea typeface="+mn-ea"/>
              <a:cs typeface="+mn-cs"/>
            </a:rPr>
            <a:t>Monthley</a:t>
          </a:r>
          <a:r>
            <a:rPr lang="en-IN" sz="1100">
              <a:ln>
                <a:solidFill>
                  <a:schemeClr val="tx1">
                    <a:lumMod val="85000"/>
                    <a:lumOff val="15000"/>
                  </a:schemeClr>
                </a:solidFill>
              </a:ln>
            </a:rPr>
            <a:t> </a:t>
          </a:r>
          <a:r>
            <a:rPr lang="en-IN" sz="1800">
              <a:solidFill>
                <a:schemeClr val="tx1">
                  <a:lumMod val="65000"/>
                  <a:lumOff val="35000"/>
                </a:schemeClr>
              </a:solidFill>
              <a:latin typeface="Agency FB" panose="020B0503020202020204" pitchFamily="34" charset="0"/>
              <a:ea typeface="+mn-ea"/>
              <a:cs typeface="+mn-cs"/>
            </a:rPr>
            <a:t>Trends</a:t>
          </a:r>
        </a:p>
      </xdr:txBody>
    </xdr:sp>
    <xdr:clientData/>
  </xdr:twoCellAnchor>
  <xdr:oneCellAnchor>
    <xdr:from>
      <xdr:col>5</xdr:col>
      <xdr:colOff>548640</xdr:colOff>
      <xdr:row>5</xdr:row>
      <xdr:rowOff>144780</xdr:rowOff>
    </xdr:from>
    <xdr:ext cx="184731" cy="264560"/>
    <xdr:sp macro="" textlink="">
      <xdr:nvSpPr>
        <xdr:cNvPr id="14" name="TextBox 13">
          <a:extLst>
            <a:ext uri="{FF2B5EF4-FFF2-40B4-BE49-F238E27FC236}">
              <a16:creationId xmlns:a16="http://schemas.microsoft.com/office/drawing/2014/main" id="{00000000-0008-0000-0D00-00000E000000}"/>
            </a:ext>
          </a:extLst>
        </xdr:cNvPr>
        <xdr:cNvSpPr txBox="1"/>
      </xdr:nvSpPr>
      <xdr:spPr>
        <a:xfrm>
          <a:off x="3596640" y="1059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5</xdr:col>
      <xdr:colOff>266700</xdr:colOff>
      <xdr:row>9</xdr:row>
      <xdr:rowOff>60960</xdr:rowOff>
    </xdr:from>
    <xdr:to>
      <xdr:col>6</xdr:col>
      <xdr:colOff>373380</xdr:colOff>
      <xdr:row>12</xdr:row>
      <xdr:rowOff>121920</xdr:rowOff>
    </xdr:to>
    <xdr:sp macro="" textlink="">
      <xdr:nvSpPr>
        <xdr:cNvPr id="15" name="Oval 14" descr="jgigig">
          <a:extLst>
            <a:ext uri="{FF2B5EF4-FFF2-40B4-BE49-F238E27FC236}">
              <a16:creationId xmlns:a16="http://schemas.microsoft.com/office/drawing/2014/main" id="{00000000-0008-0000-0D00-00000F000000}"/>
            </a:ext>
          </a:extLst>
        </xdr:cNvPr>
        <xdr:cNvSpPr/>
      </xdr:nvSpPr>
      <xdr:spPr>
        <a:xfrm>
          <a:off x="3314700" y="1706880"/>
          <a:ext cx="716280" cy="6096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525780</xdr:colOff>
      <xdr:row>11</xdr:row>
      <xdr:rowOff>152400</xdr:rowOff>
    </xdr:from>
    <xdr:to>
      <xdr:col>10</xdr:col>
      <xdr:colOff>281940</xdr:colOff>
      <xdr:row>14</xdr:row>
      <xdr:rowOff>106680</xdr:rowOff>
    </xdr:to>
    <xdr:sp macro="" textlink="">
      <xdr:nvSpPr>
        <xdr:cNvPr id="8" name="Rectangle 7">
          <a:extLst>
            <a:ext uri="{FF2B5EF4-FFF2-40B4-BE49-F238E27FC236}">
              <a16:creationId xmlns:a16="http://schemas.microsoft.com/office/drawing/2014/main" id="{00000000-0008-0000-0D00-000008000000}"/>
            </a:ext>
          </a:extLst>
        </xdr:cNvPr>
        <xdr:cNvSpPr/>
      </xdr:nvSpPr>
      <xdr:spPr>
        <a:xfrm>
          <a:off x="4792980" y="2164080"/>
          <a:ext cx="1584960" cy="5029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lumMod val="65000"/>
                  <a:lumOff val="35000"/>
                </a:schemeClr>
              </a:solidFill>
              <a:latin typeface="Agency FB" panose="020B0503020202020204" pitchFamily="34" charset="0"/>
            </a:rPr>
            <a:t>Savings  </a:t>
          </a:r>
          <a:r>
            <a:rPr lang="en-IN" sz="1800">
              <a:solidFill>
                <a:schemeClr val="tx1">
                  <a:lumMod val="85000"/>
                  <a:lumOff val="15000"/>
                </a:schemeClr>
              </a:solidFill>
              <a:latin typeface="Agency FB" panose="020B0503020202020204" pitchFamily="34" charset="0"/>
            </a:rPr>
            <a:t>2023</a:t>
          </a:r>
          <a:endParaRPr lang="en-IN" sz="1100">
            <a:solidFill>
              <a:schemeClr val="tx1">
                <a:lumMod val="85000"/>
                <a:lumOff val="15000"/>
              </a:schemeClr>
            </a:solidFill>
            <a:latin typeface="Agency FB" panose="020B0503020202020204" pitchFamily="34" charset="0"/>
          </a:endParaRPr>
        </a:p>
      </xdr:txBody>
    </xdr:sp>
    <xdr:clientData/>
  </xdr:twoCellAnchor>
  <xdr:twoCellAnchor>
    <xdr:from>
      <xdr:col>7</xdr:col>
      <xdr:colOff>563880</xdr:colOff>
      <xdr:row>12</xdr:row>
      <xdr:rowOff>160020</xdr:rowOff>
    </xdr:from>
    <xdr:to>
      <xdr:col>8</xdr:col>
      <xdr:colOff>114300</xdr:colOff>
      <xdr:row>13</xdr:row>
      <xdr:rowOff>137160</xdr:rowOff>
    </xdr:to>
    <xdr:sp macro="" textlink="">
      <xdr:nvSpPr>
        <xdr:cNvPr id="9" name="Flowchart: Connector 8">
          <a:extLst>
            <a:ext uri="{FF2B5EF4-FFF2-40B4-BE49-F238E27FC236}">
              <a16:creationId xmlns:a16="http://schemas.microsoft.com/office/drawing/2014/main" id="{00000000-0008-0000-0D00-000009000000}"/>
            </a:ext>
          </a:extLst>
        </xdr:cNvPr>
        <xdr:cNvSpPr/>
      </xdr:nvSpPr>
      <xdr:spPr>
        <a:xfrm>
          <a:off x="4831080" y="2354580"/>
          <a:ext cx="160020" cy="160020"/>
        </a:xfrm>
        <a:prstGeom prst="flowChartConnector">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7620</xdr:colOff>
      <xdr:row>2</xdr:row>
      <xdr:rowOff>144780</xdr:rowOff>
    </xdr:from>
    <xdr:to>
      <xdr:col>6</xdr:col>
      <xdr:colOff>579120</xdr:colOff>
      <xdr:row>5</xdr:row>
      <xdr:rowOff>60960</xdr:rowOff>
    </xdr:to>
    <xdr:sp macro="" textlink="">
      <xdr:nvSpPr>
        <xdr:cNvPr id="2" name="Rectangle: Rounded Corners 1">
          <a:extLst>
            <a:ext uri="{FF2B5EF4-FFF2-40B4-BE49-F238E27FC236}">
              <a16:creationId xmlns:a16="http://schemas.microsoft.com/office/drawing/2014/main" id="{00000000-0008-0000-0E00-000002000000}"/>
            </a:ext>
          </a:extLst>
        </xdr:cNvPr>
        <xdr:cNvSpPr/>
      </xdr:nvSpPr>
      <xdr:spPr>
        <a:xfrm>
          <a:off x="2446020" y="510540"/>
          <a:ext cx="1790700" cy="4648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kumar Selvam" refreshedDate="45174.277245717596" createdVersion="8" refreshedVersion="8" minRefreshableVersion="3" recordCount="48" xr:uid="{425B33E7-344A-4C90-AD51-778B43893F2D}">
  <cacheSource type="worksheet">
    <worksheetSource ref="B3:X51" sheet="data"/>
  </cacheSource>
  <cacheFields count="27">
    <cacheField name="Indentor" numFmtId="0">
      <sharedItems count="3">
        <s v="Indentor A"/>
        <s v="Indentor B"/>
        <s v="Indentor C"/>
      </sharedItems>
    </cacheField>
    <cacheField name="Indent" numFmtId="0">
      <sharedItems containsSemiMixedTypes="0" containsString="0" containsNumber="1" containsInteger="1" minValue="101" maxValue="148"/>
    </cacheField>
    <cacheField name="PR Creation Date" numFmtId="14">
      <sharedItems containsSemiMixedTypes="0" containsNonDate="0" containsDate="1" containsString="0" minDate="2022-04-01T00:00:00" maxDate="2023-03-23T00:00:00"/>
    </cacheField>
    <cacheField name="PR Approved Date" numFmtId="14">
      <sharedItems containsSemiMixedTypes="0" containsNonDate="0" containsDate="1" containsString="0" minDate="2022-04-03T00:00:00" maxDate="2023-03-25T00:00:00"/>
    </cacheField>
    <cacheField name="PO Date" numFmtId="14">
      <sharedItems containsSemiMixedTypes="0" containsNonDate="0" containsDate="1" containsString="0" minDate="2022-04-05T00:00:00" maxDate="2023-03-26T00:00:00"/>
    </cacheField>
    <cacheField name="PO No" numFmtId="0">
      <sharedItems containsSemiMixedTypes="0" containsString="0" containsNumber="1" containsInteger="1" minValue="10001" maxValue="10048"/>
    </cacheField>
    <cacheField name="Vendor Code" numFmtId="0">
      <sharedItems containsSemiMixedTypes="0" containsString="0" containsNumber="1" containsInteger="1" minValue="501" maxValue="507"/>
    </cacheField>
    <cacheField name="Item Description" numFmtId="0">
      <sharedItems count="15">
        <s v="Chair"/>
        <s v="Table "/>
        <s v="JK Paper"/>
        <s v="Water Bottle"/>
        <s v="LED Light"/>
        <s v="Ceiling Fan"/>
        <s v="Exhaust Fan"/>
        <s v="Tablet Device"/>
        <s v="Memory Card"/>
        <s v="Laptop"/>
        <s v="Pierre Cardin Set"/>
        <s v="Vending Machine"/>
        <s v="Cloth Dryer stand"/>
        <s v="Note Pad"/>
        <s v="Geyser"/>
      </sharedItems>
    </cacheField>
    <cacheField name="Qtn Price" numFmtId="42">
      <sharedItems containsSemiMixedTypes="0" containsString="0" containsNumber="1" minValue="28" maxValue="40200"/>
    </cacheField>
    <cacheField name="PO Qty" numFmtId="3">
      <sharedItems containsSemiMixedTypes="0" containsString="0" containsNumber="1" containsInteger="1" minValue="5" maxValue="1000"/>
    </cacheField>
    <cacheField name="Quotation Value" numFmtId="42">
      <sharedItems containsSemiMixedTypes="0" containsString="0" containsNumber="1" containsInteger="1" minValue="6250" maxValue="640000"/>
    </cacheField>
    <cacheField name="Nego Price" numFmtId="42">
      <sharedItems containsSemiMixedTypes="0" containsString="0" containsNumber="1" containsInteger="1" minValue="26" maxValue="38800"/>
    </cacheField>
    <cacheField name="PO Basic Value" numFmtId="44">
      <sharedItems containsSemiMixedTypes="0" containsString="0" containsNumber="1" containsInteger="1" minValue="5800" maxValue="595000"/>
    </cacheField>
    <cacheField name="Buyer" numFmtId="0">
      <sharedItems/>
    </cacheField>
    <cacheField name="Category" numFmtId="0">
      <sharedItems count="5">
        <s v="Furniture"/>
        <s v="Stationery"/>
        <s v="MRO"/>
        <s v="IT Hardware"/>
        <s v="Office Equipments"/>
      </sharedItems>
    </cacheField>
    <cacheField name="Savings" numFmtId="42">
      <sharedItems containsSemiMixedTypes="0" containsString="0" containsNumber="1" containsInteger="1" minValue="174" maxValue="45000"/>
    </cacheField>
    <cacheField name="GRN Qty" numFmtId="0">
      <sharedItems containsSemiMixedTypes="0" containsString="0" containsNumber="1" containsInteger="1" minValue="5" maxValue="800"/>
    </cacheField>
    <cacheField name="GRN Price" numFmtId="42">
      <sharedItems containsSemiMixedTypes="0" containsString="0" containsNumber="1" containsInteger="1" minValue="26" maxValue="38800"/>
    </cacheField>
    <cacheField name="GRN Value" numFmtId="42">
      <sharedItems containsSemiMixedTypes="0" containsString="0" containsNumber="1" containsInteger="1" minValue="5250" maxValue="595000"/>
    </cacheField>
    <cacheField name="Open PO Qty" numFmtId="3">
      <sharedItems containsSemiMixedTypes="0" containsString="0" containsNumber="1" containsInteger="1" minValue="0" maxValue="200"/>
    </cacheField>
    <cacheField name="Open PO Amt" numFmtId="42">
      <sharedItems containsSemiMixedTypes="0" containsString="0" containsNumber="1" containsInteger="1" minValue="0" maxValue="66000"/>
    </cacheField>
    <cacheField name="OP Count" numFmtId="0">
      <sharedItems containsSemiMixedTypes="0" containsString="0" containsNumber="1" containsInteger="1" minValue="0" maxValue="1"/>
    </cacheField>
    <cacheField name="Month" numFmtId="17">
      <sharedItems containsSemiMixedTypes="0" containsNonDate="0" containsDate="1" containsString="0" minDate="2022-04-05T00:00:00" maxDate="2023-03-26T00:00:00" count="46">
        <d v="2022-04-05T00:00:00"/>
        <d v="2022-04-12T00:00:00"/>
        <d v="2022-04-20T00:00:00"/>
        <d v="2022-04-27T00:00:00"/>
        <d v="2022-04-28T00:00:00"/>
        <d v="2022-04-29T00:00:00"/>
        <d v="2022-05-20T00:00:00"/>
        <d v="2022-05-27T00:00:00"/>
        <d v="2022-06-07T00:00:00"/>
        <d v="2022-06-11T00:00:00"/>
        <d v="2022-06-20T00:00:00"/>
        <d v="2022-06-24T00:00:00"/>
        <d v="2022-06-25T00:00:00"/>
        <d v="2022-07-11T00:00:00"/>
        <d v="2022-07-20T00:00:00"/>
        <d v="2022-08-08T00:00:00"/>
        <d v="2022-08-12T00:00:00"/>
        <d v="2022-08-19T00:00:00"/>
        <d v="2022-08-26T00:00:00"/>
        <d v="2022-08-30T00:00:00"/>
        <d v="2022-09-13T00:00:00"/>
        <d v="2022-09-20T00:00:00"/>
        <d v="2022-09-27T00:00:00"/>
        <d v="2022-10-06T00:00:00"/>
        <d v="2022-10-13T00:00:00"/>
        <d v="2022-11-07T00:00:00"/>
        <d v="2022-11-09T00:00:00"/>
        <d v="2022-11-11T00:00:00"/>
        <d v="2022-11-19T00:00:00"/>
        <d v="2022-11-26T00:00:00"/>
        <d v="2022-12-07T00:00:00"/>
        <d v="2022-12-13T00:00:00"/>
        <d v="2022-12-21T00:00:00"/>
        <d v="2023-01-07T00:00:00"/>
        <d v="2023-01-10T00:00:00"/>
        <d v="2023-01-13T00:00:00"/>
        <d v="2023-01-20T00:00:00"/>
        <d v="2023-01-25T00:00:00"/>
        <d v="2023-01-30T00:00:00"/>
        <d v="2023-02-14T00:00:00"/>
        <d v="2023-03-06T00:00:00"/>
        <d v="2023-03-09T00:00:00"/>
        <d v="2023-03-08T00:00:00"/>
        <d v="2023-03-13T00:00:00"/>
        <d v="2023-03-20T00:00:00"/>
        <d v="2023-03-25T00:00:00"/>
      </sharedItems>
      <fieldGroup par="25"/>
    </cacheField>
    <cacheField name="Months (Month)" numFmtId="0" databaseField="0">
      <fieldGroup base="22">
        <rangePr groupBy="months" startDate="2022-04-05T00:00:00" endDate="2023-03-26T00:00:00"/>
        <groupItems count="14">
          <s v="&lt;05-04-2022"/>
          <s v="Jan"/>
          <s v="Feb"/>
          <s v="Mar"/>
          <s v="Apr"/>
          <s v="May"/>
          <s v="Jun"/>
          <s v="Jul"/>
          <s v="Aug"/>
          <s v="Sep"/>
          <s v="Oct"/>
          <s v="Nov"/>
          <s v="Dec"/>
          <s v="&gt;26-03-2023"/>
        </groupItems>
      </fieldGroup>
    </cacheField>
    <cacheField name="Quarters (Month)" numFmtId="0" databaseField="0">
      <fieldGroup base="22">
        <rangePr groupBy="quarters" startDate="2022-04-05T00:00:00" endDate="2023-03-26T00:00:00"/>
        <groupItems count="6">
          <s v="&lt;05-04-2022"/>
          <s v="Qtr1"/>
          <s v="Qtr2"/>
          <s v="Qtr3"/>
          <s v="Qtr4"/>
          <s v="&gt;26-03-2023"/>
        </groupItems>
      </fieldGroup>
    </cacheField>
    <cacheField name="Years (Month)" numFmtId="0" databaseField="0">
      <fieldGroup base="22">
        <rangePr groupBy="years" startDate="2022-04-05T00:00:00" endDate="2023-03-26T00:00:00"/>
        <groupItems count="4">
          <s v="&lt;05-04-2022"/>
          <s v="2022"/>
          <s v="2023"/>
          <s v="&gt;26-03-2023"/>
        </groupItems>
      </fieldGroup>
    </cacheField>
    <cacheField name="percentage" numFmtId="0" formula=" 0" databaseField="0"/>
  </cacheFields>
  <extLst>
    <ext xmlns:x14="http://schemas.microsoft.com/office/spreadsheetml/2009/9/main" uri="{725AE2AE-9491-48be-B2B4-4EB974FC3084}">
      <x14:pivotCacheDefinition pivotCacheId="16606236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n v="101"/>
    <d v="2022-04-01T00:00:00"/>
    <d v="2022-04-03T00:00:00"/>
    <d v="2022-04-05T00:00:00"/>
    <n v="10001"/>
    <n v="501"/>
    <x v="0"/>
    <n v="600"/>
    <n v="400"/>
    <n v="240000"/>
    <n v="550"/>
    <n v="220000"/>
    <s v="Buyer A"/>
    <x v="0"/>
    <n v="20000"/>
    <n v="400"/>
    <n v="550"/>
    <n v="220000"/>
    <n v="0"/>
    <n v="0"/>
    <n v="0"/>
    <x v="0"/>
  </r>
  <r>
    <x v="0"/>
    <n v="102"/>
    <d v="2022-04-07T00:00:00"/>
    <d v="2022-04-10T00:00:00"/>
    <d v="2022-04-12T00:00:00"/>
    <n v="10002"/>
    <n v="501"/>
    <x v="1"/>
    <n v="6400"/>
    <n v="100"/>
    <n v="640000"/>
    <n v="5950"/>
    <n v="595000"/>
    <s v="Buyer C"/>
    <x v="0"/>
    <n v="45000"/>
    <n v="100"/>
    <n v="5950"/>
    <n v="595000"/>
    <n v="0"/>
    <n v="0"/>
    <n v="0"/>
    <x v="1"/>
  </r>
  <r>
    <x v="1"/>
    <n v="103"/>
    <d v="2022-04-15T00:00:00"/>
    <d v="2022-04-17T00:00:00"/>
    <d v="2022-04-20T00:00:00"/>
    <n v="10003"/>
    <n v="502"/>
    <x v="2"/>
    <n v="230"/>
    <n v="687"/>
    <n v="158010"/>
    <n v="220"/>
    <n v="151140"/>
    <s v="Buyer D"/>
    <x v="1"/>
    <n v="6870"/>
    <n v="687"/>
    <n v="220"/>
    <n v="151140"/>
    <n v="0"/>
    <n v="0"/>
    <n v="0"/>
    <x v="2"/>
  </r>
  <r>
    <x v="2"/>
    <n v="104"/>
    <d v="2022-04-22T00:00:00"/>
    <d v="2022-04-25T00:00:00"/>
    <d v="2022-04-27T00:00:00"/>
    <n v="10004"/>
    <n v="502"/>
    <x v="3"/>
    <n v="82"/>
    <n v="200"/>
    <n v="16400"/>
    <n v="80"/>
    <n v="16000"/>
    <s v="Buyer A"/>
    <x v="1"/>
    <n v="400"/>
    <n v="200"/>
    <n v="80"/>
    <n v="16000"/>
    <n v="0"/>
    <n v="0"/>
    <n v="0"/>
    <x v="3"/>
  </r>
  <r>
    <x v="1"/>
    <n v="105"/>
    <d v="2022-04-23T00:00:00"/>
    <d v="2022-04-27T00:00:00"/>
    <d v="2022-04-28T00:00:00"/>
    <n v="10005"/>
    <n v="503"/>
    <x v="4"/>
    <n v="223"/>
    <n v="58"/>
    <n v="12934"/>
    <n v="220"/>
    <n v="12760"/>
    <s v="Buyer C"/>
    <x v="2"/>
    <n v="174"/>
    <n v="55"/>
    <n v="220"/>
    <n v="12100"/>
    <n v="3"/>
    <n v="660"/>
    <n v="1"/>
    <x v="4"/>
  </r>
  <r>
    <x v="1"/>
    <n v="106"/>
    <d v="2022-04-26T00:00:00"/>
    <d v="2022-04-28T00:00:00"/>
    <d v="2022-04-29T00:00:00"/>
    <n v="10006"/>
    <n v="503"/>
    <x v="5"/>
    <n v="990"/>
    <n v="20"/>
    <n v="19800"/>
    <n v="950"/>
    <n v="19000"/>
    <s v="Buyer A"/>
    <x v="2"/>
    <n v="800"/>
    <n v="20"/>
    <n v="950"/>
    <n v="19000"/>
    <n v="0"/>
    <n v="0"/>
    <n v="0"/>
    <x v="5"/>
  </r>
  <r>
    <x v="2"/>
    <n v="107"/>
    <d v="2022-05-15T00:00:00"/>
    <d v="2022-05-17T00:00:00"/>
    <d v="2022-05-20T00:00:00"/>
    <n v="10007"/>
    <n v="503"/>
    <x v="6"/>
    <n v="930"/>
    <n v="20"/>
    <n v="18600"/>
    <n v="900"/>
    <n v="18000"/>
    <s v="Buyer D"/>
    <x v="2"/>
    <n v="600"/>
    <n v="20"/>
    <n v="900"/>
    <n v="18000"/>
    <n v="0"/>
    <n v="0"/>
    <n v="0"/>
    <x v="6"/>
  </r>
  <r>
    <x v="0"/>
    <n v="108"/>
    <d v="2022-05-22T00:00:00"/>
    <d v="2022-05-26T00:00:00"/>
    <d v="2022-05-27T00:00:00"/>
    <n v="10008"/>
    <n v="504"/>
    <x v="7"/>
    <n v="12000"/>
    <n v="23"/>
    <n v="276000"/>
    <n v="11500"/>
    <n v="264500"/>
    <s v="Buyer D"/>
    <x v="3"/>
    <n v="11500"/>
    <n v="20"/>
    <n v="11500"/>
    <n v="230000"/>
    <n v="3"/>
    <n v="34500"/>
    <n v="1"/>
    <x v="7"/>
  </r>
  <r>
    <x v="2"/>
    <n v="109"/>
    <d v="2022-06-01T00:00:00"/>
    <d v="2022-06-04T00:00:00"/>
    <d v="2022-06-07T00:00:00"/>
    <n v="10009"/>
    <n v="504"/>
    <x v="8"/>
    <n v="355.9375"/>
    <n v="800"/>
    <n v="284750"/>
    <n v="340"/>
    <n v="272000"/>
    <s v="Buyer A"/>
    <x v="3"/>
    <n v="12750"/>
    <n v="800"/>
    <n v="340"/>
    <n v="272000"/>
    <n v="0"/>
    <n v="0"/>
    <n v="0"/>
    <x v="8"/>
  </r>
  <r>
    <x v="2"/>
    <n v="110"/>
    <d v="2022-06-07T00:00:00"/>
    <d v="2022-06-09T00:00:00"/>
    <d v="2022-06-11T00:00:00"/>
    <n v="10010"/>
    <n v="505"/>
    <x v="9"/>
    <n v="40200"/>
    <n v="5"/>
    <n v="201000"/>
    <n v="36800"/>
    <n v="184000"/>
    <s v="Buyer A"/>
    <x v="3"/>
    <n v="17000"/>
    <n v="5"/>
    <n v="36800"/>
    <n v="184000"/>
    <n v="0"/>
    <n v="0"/>
    <n v="0"/>
    <x v="9"/>
  </r>
  <r>
    <x v="1"/>
    <n v="111"/>
    <d v="2022-06-15T00:00:00"/>
    <d v="2022-06-18T00:00:00"/>
    <d v="2022-06-20T00:00:00"/>
    <n v="10011"/>
    <n v="502"/>
    <x v="10"/>
    <n v="625"/>
    <n v="10"/>
    <n v="6250"/>
    <n v="580"/>
    <n v="5800"/>
    <s v="Buyer D"/>
    <x v="1"/>
    <n v="450"/>
    <n v="10"/>
    <n v="580"/>
    <n v="5800"/>
    <n v="0"/>
    <n v="0"/>
    <n v="0"/>
    <x v="10"/>
  </r>
  <r>
    <x v="0"/>
    <n v="112"/>
    <d v="2022-06-18T00:00:00"/>
    <d v="2022-06-22T00:00:00"/>
    <d v="2022-06-24T00:00:00"/>
    <n v="10012"/>
    <n v="506"/>
    <x v="11"/>
    <n v="20000"/>
    <n v="5"/>
    <n v="100000"/>
    <n v="18500"/>
    <n v="92500"/>
    <s v="Buyer A"/>
    <x v="4"/>
    <n v="7500"/>
    <n v="5"/>
    <n v="18500"/>
    <n v="92500"/>
    <n v="0"/>
    <n v="0"/>
    <n v="0"/>
    <x v="11"/>
  </r>
  <r>
    <x v="0"/>
    <n v="113"/>
    <d v="2022-06-21T00:00:00"/>
    <d v="2022-06-23T00:00:00"/>
    <d v="2022-06-25T00:00:00"/>
    <n v="10013"/>
    <n v="507"/>
    <x v="12"/>
    <n v="1542"/>
    <n v="204"/>
    <n v="314568"/>
    <n v="1450"/>
    <n v="295800"/>
    <s v="Buyer A"/>
    <x v="4"/>
    <n v="18768"/>
    <n v="200"/>
    <n v="1450"/>
    <n v="290000"/>
    <n v="4"/>
    <n v="5800"/>
    <n v="1"/>
    <x v="12"/>
  </r>
  <r>
    <x v="2"/>
    <n v="114"/>
    <d v="2022-07-07T00:00:00"/>
    <d v="2022-07-09T00:00:00"/>
    <d v="2022-07-11T00:00:00"/>
    <n v="10014"/>
    <n v="502"/>
    <x v="13"/>
    <n v="28"/>
    <n v="504"/>
    <n v="14112"/>
    <n v="26"/>
    <n v="13104"/>
    <s v="Buyer C"/>
    <x v="1"/>
    <n v="1008"/>
    <n v="500"/>
    <n v="26"/>
    <n v="13000"/>
    <n v="4"/>
    <n v="104"/>
    <n v="1"/>
    <x v="13"/>
  </r>
  <r>
    <x v="1"/>
    <n v="115"/>
    <d v="2022-07-15T00:00:00"/>
    <d v="2022-07-18T00:00:00"/>
    <d v="2022-07-20T00:00:00"/>
    <n v="10015"/>
    <n v="501"/>
    <x v="1"/>
    <n v="6400"/>
    <n v="100"/>
    <n v="640000"/>
    <n v="5950"/>
    <n v="595000"/>
    <s v="Buyer C"/>
    <x v="0"/>
    <n v="45000"/>
    <n v="100"/>
    <n v="5950"/>
    <n v="595000"/>
    <n v="0"/>
    <n v="0"/>
    <n v="0"/>
    <x v="14"/>
  </r>
  <r>
    <x v="1"/>
    <n v="116"/>
    <d v="2022-08-01T00:00:00"/>
    <d v="2022-08-05T00:00:00"/>
    <d v="2022-08-08T00:00:00"/>
    <n v="10016"/>
    <n v="503"/>
    <x v="14"/>
    <n v="5500"/>
    <n v="10"/>
    <n v="55000"/>
    <n v="4800"/>
    <n v="48000"/>
    <s v="Buyer B"/>
    <x v="2"/>
    <n v="7000"/>
    <n v="10"/>
    <n v="4800"/>
    <n v="48000"/>
    <n v="0"/>
    <n v="0"/>
    <n v="0"/>
    <x v="15"/>
  </r>
  <r>
    <x v="0"/>
    <n v="117"/>
    <d v="2022-08-03T00:00:00"/>
    <d v="2022-08-05T00:00:00"/>
    <d v="2022-08-08T00:00:00"/>
    <n v="10017"/>
    <n v="504"/>
    <x v="8"/>
    <n v="355.9375"/>
    <n v="800"/>
    <n v="284750"/>
    <n v="340"/>
    <n v="272000"/>
    <s v="Buyer A"/>
    <x v="3"/>
    <n v="12750"/>
    <n v="800"/>
    <n v="340"/>
    <n v="272000"/>
    <n v="0"/>
    <n v="0"/>
    <n v="0"/>
    <x v="15"/>
  </r>
  <r>
    <x v="0"/>
    <n v="118"/>
    <d v="2022-08-07T00:00:00"/>
    <d v="2022-08-09T00:00:00"/>
    <d v="2022-08-12T00:00:00"/>
    <n v="10018"/>
    <n v="501"/>
    <x v="0"/>
    <n v="675"/>
    <n v="100"/>
    <n v="67500"/>
    <n v="600"/>
    <n v="60000"/>
    <s v="Buyer B"/>
    <x v="0"/>
    <n v="7500"/>
    <n v="100"/>
    <n v="600"/>
    <n v="60000"/>
    <n v="0"/>
    <n v="0"/>
    <n v="0"/>
    <x v="16"/>
  </r>
  <r>
    <x v="1"/>
    <n v="119"/>
    <d v="2022-08-15T00:00:00"/>
    <d v="2022-08-17T00:00:00"/>
    <d v="2022-08-19T00:00:00"/>
    <n v="10019"/>
    <n v="501"/>
    <x v="1"/>
    <n v="8000"/>
    <n v="25"/>
    <n v="200000"/>
    <n v="7200"/>
    <n v="180000"/>
    <s v="Buyer C"/>
    <x v="0"/>
    <n v="20000"/>
    <n v="25"/>
    <n v="7200"/>
    <n v="180000"/>
    <n v="0"/>
    <n v="0"/>
    <n v="0"/>
    <x v="17"/>
  </r>
  <r>
    <x v="2"/>
    <n v="120"/>
    <d v="2022-08-22T00:00:00"/>
    <d v="2022-08-24T00:00:00"/>
    <d v="2022-08-26T00:00:00"/>
    <n v="10020"/>
    <n v="504"/>
    <x v="8"/>
    <n v="360"/>
    <n v="800"/>
    <n v="288000"/>
    <n v="340"/>
    <n v="272000"/>
    <s v="Buyer D"/>
    <x v="3"/>
    <n v="16000"/>
    <n v="800"/>
    <n v="340"/>
    <n v="272000"/>
    <n v="0"/>
    <n v="0"/>
    <n v="0"/>
    <x v="18"/>
  </r>
  <r>
    <x v="1"/>
    <n v="121"/>
    <d v="2022-08-25T00:00:00"/>
    <d v="2022-08-29T00:00:00"/>
    <d v="2022-08-30T00:00:00"/>
    <n v="10021"/>
    <n v="504"/>
    <x v="9"/>
    <n v="40200"/>
    <n v="5"/>
    <n v="201000"/>
    <n v="36800"/>
    <n v="184000"/>
    <s v="Buyer B"/>
    <x v="3"/>
    <n v="17000"/>
    <n v="5"/>
    <n v="36800"/>
    <n v="184000"/>
    <n v="0"/>
    <n v="0"/>
    <n v="0"/>
    <x v="19"/>
  </r>
  <r>
    <x v="1"/>
    <n v="122"/>
    <d v="2022-09-07T00:00:00"/>
    <d v="2022-09-10T00:00:00"/>
    <d v="2022-09-13T00:00:00"/>
    <n v="10022"/>
    <n v="503"/>
    <x v="5"/>
    <n v="1050"/>
    <n v="20"/>
    <n v="21000"/>
    <n v="1030"/>
    <n v="20600"/>
    <s v="Buyer B"/>
    <x v="2"/>
    <n v="400"/>
    <n v="20"/>
    <n v="1030"/>
    <n v="20600"/>
    <n v="0"/>
    <n v="0"/>
    <n v="0"/>
    <x v="20"/>
  </r>
  <r>
    <x v="2"/>
    <n v="123"/>
    <d v="2022-09-15T00:00:00"/>
    <d v="2022-09-17T00:00:00"/>
    <d v="2022-09-20T00:00:00"/>
    <n v="10023"/>
    <n v="502"/>
    <x v="2"/>
    <n v="250"/>
    <n v="687"/>
    <n v="171750"/>
    <n v="240"/>
    <n v="164880"/>
    <s v="Buyer C"/>
    <x v="1"/>
    <n v="6870"/>
    <n v="600"/>
    <n v="240"/>
    <n v="144000"/>
    <n v="87"/>
    <n v="20880"/>
    <n v="1"/>
    <x v="21"/>
  </r>
  <r>
    <x v="0"/>
    <n v="124"/>
    <d v="2022-09-22T00:00:00"/>
    <d v="2022-09-26T00:00:00"/>
    <d v="2022-09-27T00:00:00"/>
    <n v="10024"/>
    <n v="502"/>
    <x v="3"/>
    <n v="85"/>
    <n v="200"/>
    <n v="17000"/>
    <n v="80"/>
    <n v="16000"/>
    <s v="Buyer C"/>
    <x v="1"/>
    <n v="1000"/>
    <n v="200"/>
    <n v="80"/>
    <n v="16000"/>
    <n v="0"/>
    <n v="0"/>
    <n v="0"/>
    <x v="22"/>
  </r>
  <r>
    <x v="2"/>
    <n v="125"/>
    <d v="2022-10-01T00:00:00"/>
    <d v="2022-10-04T00:00:00"/>
    <d v="2022-10-06T00:00:00"/>
    <n v="10025"/>
    <n v="505"/>
    <x v="9"/>
    <n v="40200"/>
    <n v="5"/>
    <n v="201000"/>
    <n v="36800"/>
    <n v="184000"/>
    <s v="Buyer D"/>
    <x v="3"/>
    <n v="17000"/>
    <n v="5"/>
    <n v="36800"/>
    <n v="184000"/>
    <n v="0"/>
    <n v="0"/>
    <n v="0"/>
    <x v="23"/>
  </r>
  <r>
    <x v="2"/>
    <n v="126"/>
    <d v="2022-10-07T00:00:00"/>
    <d v="2022-10-10T00:00:00"/>
    <d v="2022-10-13T00:00:00"/>
    <n v="10026"/>
    <n v="504"/>
    <x v="8"/>
    <n v="355.9375"/>
    <n v="800"/>
    <n v="284750"/>
    <n v="340"/>
    <n v="272000"/>
    <s v="Buyer D"/>
    <x v="3"/>
    <n v="12750"/>
    <n v="800"/>
    <n v="340"/>
    <n v="272000"/>
    <n v="0"/>
    <n v="0"/>
    <n v="0"/>
    <x v="24"/>
  </r>
  <r>
    <x v="1"/>
    <n v="127"/>
    <d v="2022-11-01T00:00:00"/>
    <d v="2022-11-04T00:00:00"/>
    <d v="2022-11-07T00:00:00"/>
    <n v="10027"/>
    <n v="502"/>
    <x v="2"/>
    <n v="250"/>
    <n v="500"/>
    <n v="125000"/>
    <n v="240"/>
    <n v="120000"/>
    <s v="Buyer B"/>
    <x v="1"/>
    <n v="5000"/>
    <n v="500"/>
    <n v="240"/>
    <n v="120000"/>
    <n v="0"/>
    <n v="0"/>
    <n v="0"/>
    <x v="25"/>
  </r>
  <r>
    <x v="0"/>
    <n v="128"/>
    <d v="2022-11-03T00:00:00"/>
    <d v="2022-11-06T00:00:00"/>
    <d v="2022-11-09T00:00:00"/>
    <n v="10028"/>
    <n v="502"/>
    <x v="3"/>
    <n v="85"/>
    <n v="500"/>
    <n v="42500"/>
    <n v="80"/>
    <n v="40000"/>
    <s v="Buyer B"/>
    <x v="1"/>
    <n v="2500"/>
    <n v="500"/>
    <n v="80"/>
    <n v="40000"/>
    <n v="0"/>
    <n v="0"/>
    <n v="0"/>
    <x v="26"/>
  </r>
  <r>
    <x v="0"/>
    <n v="129"/>
    <d v="2022-11-05T00:00:00"/>
    <d v="2022-11-09T00:00:00"/>
    <d v="2022-11-11T00:00:00"/>
    <n v="10029"/>
    <n v="504"/>
    <x v="7"/>
    <n v="12000"/>
    <n v="23"/>
    <n v="276000"/>
    <n v="11500"/>
    <n v="264500"/>
    <s v="Buyer B"/>
    <x v="3"/>
    <n v="11500"/>
    <n v="23"/>
    <n v="11500"/>
    <n v="264500"/>
    <n v="0"/>
    <n v="0"/>
    <n v="0"/>
    <x v="27"/>
  </r>
  <r>
    <x v="2"/>
    <n v="130"/>
    <d v="2022-11-07T00:00:00"/>
    <d v="2022-11-09T00:00:00"/>
    <d v="2022-11-11T00:00:00"/>
    <n v="10030"/>
    <n v="503"/>
    <x v="4"/>
    <n v="250"/>
    <n v="58"/>
    <n v="14500"/>
    <n v="220"/>
    <n v="12760"/>
    <s v="Buyer C"/>
    <x v="2"/>
    <n v="1740"/>
    <n v="58"/>
    <n v="220"/>
    <n v="12760"/>
    <n v="0"/>
    <n v="0"/>
    <n v="0"/>
    <x v="27"/>
  </r>
  <r>
    <x v="1"/>
    <n v="131"/>
    <d v="2022-11-15T00:00:00"/>
    <d v="2022-11-17T00:00:00"/>
    <d v="2022-11-19T00:00:00"/>
    <n v="10031"/>
    <n v="505"/>
    <x v="8"/>
    <n v="355.9375"/>
    <n v="800"/>
    <n v="284750"/>
    <n v="340"/>
    <n v="272000"/>
    <s v="Buyer C"/>
    <x v="3"/>
    <n v="12750"/>
    <n v="750"/>
    <n v="340"/>
    <n v="255000"/>
    <n v="50"/>
    <n v="17000"/>
    <n v="1"/>
    <x v="28"/>
  </r>
  <r>
    <x v="1"/>
    <n v="132"/>
    <d v="2022-11-22T00:00:00"/>
    <d v="2022-11-24T00:00:00"/>
    <d v="2022-11-26T00:00:00"/>
    <n v="10032"/>
    <n v="503"/>
    <x v="14"/>
    <n v="5800"/>
    <n v="10"/>
    <n v="58000"/>
    <n v="5200"/>
    <n v="52000"/>
    <s v="Buyer C"/>
    <x v="2"/>
    <n v="6000"/>
    <n v="10"/>
    <n v="5200"/>
    <n v="52000"/>
    <n v="0"/>
    <n v="0"/>
    <n v="0"/>
    <x v="29"/>
  </r>
  <r>
    <x v="0"/>
    <n v="133"/>
    <d v="2022-12-01T00:00:00"/>
    <d v="2022-12-05T00:00:00"/>
    <d v="2022-12-07T00:00:00"/>
    <n v="10033"/>
    <n v="502"/>
    <x v="13"/>
    <n v="28"/>
    <n v="504"/>
    <n v="14112"/>
    <n v="26"/>
    <n v="13104"/>
    <s v="Buyer D"/>
    <x v="1"/>
    <n v="1008"/>
    <n v="504"/>
    <n v="26"/>
    <n v="13104"/>
    <n v="0"/>
    <n v="0"/>
    <n v="0"/>
    <x v="30"/>
  </r>
  <r>
    <x v="0"/>
    <n v="134"/>
    <d v="2022-12-07T00:00:00"/>
    <d v="2022-12-11T00:00:00"/>
    <d v="2022-12-13T00:00:00"/>
    <n v="10034"/>
    <n v="503"/>
    <x v="5"/>
    <n v="1050"/>
    <n v="40"/>
    <n v="42000"/>
    <n v="1000"/>
    <n v="40000"/>
    <s v="Buyer D"/>
    <x v="2"/>
    <n v="2000"/>
    <n v="40"/>
    <n v="1000"/>
    <n v="40000"/>
    <n v="0"/>
    <n v="0"/>
    <n v="0"/>
    <x v="31"/>
  </r>
  <r>
    <x v="1"/>
    <n v="135"/>
    <d v="2022-12-15T00:00:00"/>
    <d v="2022-12-19T00:00:00"/>
    <d v="2022-12-21T00:00:00"/>
    <n v="10035"/>
    <n v="503"/>
    <x v="6"/>
    <n v="1100"/>
    <n v="25"/>
    <n v="27500"/>
    <n v="1000"/>
    <n v="25000"/>
    <s v="Buyer C"/>
    <x v="2"/>
    <n v="2500"/>
    <n v="25"/>
    <n v="1000"/>
    <n v="25000"/>
    <n v="0"/>
    <n v="0"/>
    <n v="0"/>
    <x v="32"/>
  </r>
  <r>
    <x v="2"/>
    <n v="136"/>
    <d v="2023-01-01T00:00:00"/>
    <d v="2023-01-05T00:00:00"/>
    <d v="2023-01-07T00:00:00"/>
    <n v="10036"/>
    <n v="503"/>
    <x v="4"/>
    <n v="250"/>
    <n v="70"/>
    <n v="17500"/>
    <n v="220"/>
    <n v="15400"/>
    <s v="Buyer C"/>
    <x v="2"/>
    <n v="2100"/>
    <n v="60"/>
    <n v="220"/>
    <n v="13200"/>
    <n v="10"/>
    <n v="2200"/>
    <n v="1"/>
    <x v="33"/>
  </r>
  <r>
    <x v="1"/>
    <n v="137"/>
    <d v="2023-01-03T00:00:00"/>
    <d v="2023-01-07T00:00:00"/>
    <d v="2023-01-10T00:00:00"/>
    <n v="10037"/>
    <n v="504"/>
    <x v="9"/>
    <n v="39000"/>
    <n v="10"/>
    <n v="390000"/>
    <n v="38800"/>
    <n v="388000"/>
    <s v="Buyer C"/>
    <x v="3"/>
    <n v="2000"/>
    <n v="10"/>
    <n v="38800"/>
    <n v="388000"/>
    <n v="0"/>
    <n v="0"/>
    <n v="0"/>
    <x v="34"/>
  </r>
  <r>
    <x v="1"/>
    <n v="138"/>
    <d v="2023-01-07T00:00:00"/>
    <d v="2023-01-10T00:00:00"/>
    <d v="2023-01-13T00:00:00"/>
    <n v="10038"/>
    <n v="503"/>
    <x v="14"/>
    <n v="5800"/>
    <n v="10"/>
    <n v="58000"/>
    <n v="5200"/>
    <n v="52000"/>
    <s v="Buyer B"/>
    <x v="2"/>
    <n v="6000"/>
    <n v="10"/>
    <n v="5200"/>
    <n v="52000"/>
    <n v="0"/>
    <n v="0"/>
    <n v="0"/>
    <x v="35"/>
  </r>
  <r>
    <x v="2"/>
    <n v="139"/>
    <d v="2023-01-15T00:00:00"/>
    <d v="2023-01-18T00:00:00"/>
    <d v="2023-01-20T00:00:00"/>
    <n v="10039"/>
    <n v="502"/>
    <x v="13"/>
    <n v="28"/>
    <n v="1000"/>
    <n v="28000"/>
    <n v="26"/>
    <n v="26000"/>
    <s v="Buyer D"/>
    <x v="1"/>
    <n v="2000"/>
    <n v="800"/>
    <n v="26"/>
    <n v="20800"/>
    <n v="200"/>
    <n v="5200"/>
    <n v="1"/>
    <x v="36"/>
  </r>
  <r>
    <x v="0"/>
    <n v="140"/>
    <d v="2023-01-22T00:00:00"/>
    <d v="2023-01-24T00:00:00"/>
    <d v="2023-01-25T00:00:00"/>
    <n v="10040"/>
    <n v="504"/>
    <x v="7"/>
    <n v="14400"/>
    <n v="15"/>
    <n v="216000"/>
    <n v="13200"/>
    <n v="198000"/>
    <s v="Buyer B"/>
    <x v="3"/>
    <n v="18000"/>
    <n v="10"/>
    <n v="13200"/>
    <n v="132000"/>
    <n v="5"/>
    <n v="66000"/>
    <n v="1"/>
    <x v="37"/>
  </r>
  <r>
    <x v="1"/>
    <n v="141"/>
    <d v="2023-01-25T00:00:00"/>
    <d v="2023-01-29T00:00:00"/>
    <d v="2023-01-30T00:00:00"/>
    <n v="10041"/>
    <n v="503"/>
    <x v="5"/>
    <n v="1100"/>
    <n v="10"/>
    <n v="11000"/>
    <n v="1050"/>
    <n v="10500"/>
    <s v="Buyer B"/>
    <x v="2"/>
    <n v="500"/>
    <n v="5"/>
    <n v="1050"/>
    <n v="5250"/>
    <n v="5"/>
    <n v="5250"/>
    <n v="1"/>
    <x v="38"/>
  </r>
  <r>
    <x v="0"/>
    <n v="142"/>
    <d v="2023-02-07T00:00:00"/>
    <d v="2023-02-11T00:00:00"/>
    <d v="2023-02-14T00:00:00"/>
    <n v="10042"/>
    <n v="503"/>
    <x v="6"/>
    <n v="1200"/>
    <n v="15"/>
    <n v="18000"/>
    <n v="1050"/>
    <n v="15750"/>
    <s v="Buyer C"/>
    <x v="2"/>
    <n v="2250"/>
    <n v="10"/>
    <n v="1050"/>
    <n v="10500"/>
    <n v="5"/>
    <n v="5250"/>
    <n v="1"/>
    <x v="39"/>
  </r>
  <r>
    <x v="0"/>
    <n v="143"/>
    <d v="2023-03-01T00:00:00"/>
    <d v="2023-03-04T00:00:00"/>
    <d v="2023-03-06T00:00:00"/>
    <n v="10043"/>
    <n v="503"/>
    <x v="4"/>
    <n v="250"/>
    <n v="80"/>
    <n v="20000"/>
    <n v="220"/>
    <n v="17600"/>
    <s v="Buyer D"/>
    <x v="2"/>
    <n v="2400"/>
    <n v="40"/>
    <n v="220"/>
    <n v="8800"/>
    <n v="40"/>
    <n v="8800"/>
    <n v="1"/>
    <x v="40"/>
  </r>
  <r>
    <x v="1"/>
    <n v="144"/>
    <d v="2023-03-04T00:00:00"/>
    <d v="2023-03-06T00:00:00"/>
    <d v="2023-03-09T00:00:00"/>
    <n v="10044"/>
    <n v="503"/>
    <x v="14"/>
    <n v="6000"/>
    <n v="10"/>
    <n v="60000"/>
    <n v="5500"/>
    <n v="55000"/>
    <s v="Buyer D"/>
    <x v="2"/>
    <n v="5000"/>
    <n v="10"/>
    <n v="5500"/>
    <n v="55000"/>
    <n v="0"/>
    <n v="0"/>
    <n v="0"/>
    <x v="41"/>
  </r>
  <r>
    <x v="2"/>
    <n v="145"/>
    <d v="2023-03-04T00:00:00"/>
    <d v="2023-03-06T00:00:00"/>
    <d v="2023-03-08T00:00:00"/>
    <n v="10045"/>
    <n v="502"/>
    <x v="2"/>
    <n v="270"/>
    <n v="800"/>
    <n v="216000"/>
    <n v="260"/>
    <n v="208000"/>
    <s v="Buyer B"/>
    <x v="1"/>
    <n v="8000"/>
    <n v="800"/>
    <n v="260"/>
    <n v="208000"/>
    <n v="0"/>
    <n v="0"/>
    <n v="0"/>
    <x v="42"/>
  </r>
  <r>
    <x v="1"/>
    <n v="146"/>
    <d v="2023-03-07T00:00:00"/>
    <d v="2023-03-11T00:00:00"/>
    <d v="2023-03-13T00:00:00"/>
    <n v="10046"/>
    <n v="502"/>
    <x v="3"/>
    <n v="90"/>
    <n v="200"/>
    <n v="18000"/>
    <n v="85"/>
    <n v="17000"/>
    <s v="Buyer B"/>
    <x v="1"/>
    <n v="1000"/>
    <n v="200"/>
    <n v="85"/>
    <n v="17000"/>
    <n v="0"/>
    <n v="0"/>
    <n v="0"/>
    <x v="43"/>
  </r>
  <r>
    <x v="1"/>
    <n v="147"/>
    <d v="2023-03-15T00:00:00"/>
    <d v="2023-03-18T00:00:00"/>
    <d v="2023-03-20T00:00:00"/>
    <n v="10047"/>
    <n v="505"/>
    <x v="8"/>
    <n v="350"/>
    <n v="800"/>
    <n v="280000"/>
    <n v="320"/>
    <n v="256000"/>
    <s v="Buyer C"/>
    <x v="3"/>
    <n v="24000"/>
    <n v="800"/>
    <n v="320"/>
    <n v="256000"/>
    <n v="0"/>
    <n v="0"/>
    <n v="0"/>
    <x v="44"/>
  </r>
  <r>
    <x v="2"/>
    <n v="148"/>
    <d v="2023-03-22T00:00:00"/>
    <d v="2023-03-24T00:00:00"/>
    <d v="2023-03-25T00:00:00"/>
    <n v="10048"/>
    <n v="503"/>
    <x v="5"/>
    <n v="1100"/>
    <n v="20"/>
    <n v="22000"/>
    <n v="1050"/>
    <n v="21000"/>
    <s v="Buyer D"/>
    <x v="2"/>
    <n v="1000"/>
    <n v="20"/>
    <n v="1050"/>
    <n v="21000"/>
    <n v="0"/>
    <n v="0"/>
    <n v="0"/>
    <x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355476-C30D-433D-9960-455EA0D3D38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showAll="0"/>
    <pivotField dataField="1"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Sum of Savings" fld="15" baseField="0" baseItem="0"/>
  </dataFields>
  <formats count="6">
    <format dxfId="59">
      <pivotArea collapsedLevelsAreSubtotals="1" fieldPosition="0">
        <references count="1">
          <reference field="23" count="1">
            <x v="1"/>
          </reference>
        </references>
      </pivotArea>
    </format>
    <format dxfId="58">
      <pivotArea type="all" dataOnly="0" outline="0" fieldPosition="0"/>
    </format>
    <format dxfId="57">
      <pivotArea outline="0" collapsedLevelsAreSubtotals="1" fieldPosition="0"/>
    </format>
    <format dxfId="56">
      <pivotArea field="23" type="button" dataOnly="0" labelOnly="1" outline="0" axis="axisRow" fieldPosition="0"/>
    </format>
    <format dxfId="55">
      <pivotArea dataOnly="0" labelOnly="1" fieldPosition="0">
        <references count="1">
          <reference field="23" count="12">
            <x v="1"/>
            <x v="2"/>
            <x v="3"/>
            <x v="4"/>
            <x v="5"/>
            <x v="6"/>
            <x v="7"/>
            <x v="8"/>
            <x v="9"/>
            <x v="10"/>
            <x v="11"/>
            <x v="12"/>
          </reference>
        </references>
      </pivotArea>
    </format>
    <format dxfId="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F335B5-9790-4186-9304-5EA3C45D162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showAll="0"/>
    <pivotField dataField="1"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showAll="0" defaultSubtotal="0"/>
    <pivotField showAll="0" defaultSubtotal="0"/>
    <pivotField axis="axisRow" showAll="0" defaultSubtotal="0">
      <items count="4">
        <item x="0"/>
        <item x="1"/>
        <item x="2"/>
        <item x="3"/>
      </items>
    </pivotField>
    <pivotField dragToRow="0" dragToCol="0" dragToPage="0" showAll="0" defaultSubtotal="0"/>
  </pivotFields>
  <rowFields count="1">
    <field x="25"/>
  </rowFields>
  <rowItems count="3">
    <i>
      <x v="1"/>
    </i>
    <i>
      <x v="2"/>
    </i>
    <i t="grand">
      <x/>
    </i>
  </rowItems>
  <colItems count="1">
    <i/>
  </colItems>
  <dataFields count="1">
    <dataField name="PURCHASED" fld="15" baseField="0" baseItem="0"/>
  </dataFields>
  <formats count="2">
    <format dxfId="53">
      <pivotArea collapsedLevelsAreSubtotals="1" fieldPosition="0">
        <references count="1">
          <reference field="25" count="1">
            <x v="1"/>
          </reference>
        </references>
      </pivotArea>
    </format>
    <format dxfId="52">
      <pivotArea collapsedLevelsAreSubtotals="1" fieldPosition="0">
        <references count="1">
          <reference field="25"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130E33-3A4C-4224-B1B8-12E20170C16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showAll="0"/>
    <pivotField dataField="1"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Sum of Savings" fld="15" baseField="0" baseItem="0"/>
  </dataFields>
  <formats count="6">
    <format dxfId="51">
      <pivotArea collapsedLevelsAreSubtotals="1" fieldPosition="0">
        <references count="1">
          <reference field="23" count="1">
            <x v="1"/>
          </reference>
        </references>
      </pivotArea>
    </format>
    <format dxfId="50">
      <pivotArea type="all" dataOnly="0" outline="0" fieldPosition="0"/>
    </format>
    <format dxfId="49">
      <pivotArea outline="0" collapsedLevelsAreSubtotals="1" fieldPosition="0"/>
    </format>
    <format dxfId="48">
      <pivotArea field="23" type="button" dataOnly="0" labelOnly="1" outline="0" axis="axisRow" fieldPosition="0"/>
    </format>
    <format dxfId="47">
      <pivotArea dataOnly="0" labelOnly="1" fieldPosition="0">
        <references count="1">
          <reference field="23" count="12">
            <x v="1"/>
            <x v="2"/>
            <x v="3"/>
            <x v="4"/>
            <x v="5"/>
            <x v="6"/>
            <x v="7"/>
            <x v="8"/>
            <x v="9"/>
            <x v="10"/>
            <x v="11"/>
            <x v="12"/>
          </reference>
        </references>
      </pivotArea>
    </format>
    <format dxfId="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41567-38C6-41E0-817B-8BB56D3E650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dataField="1" numFmtId="3" showAll="0"/>
    <pivotField numFmtId="3" showAll="0"/>
    <pivotField numFmtId="3" showAll="0"/>
    <pivotField showAll="0"/>
    <pivotField showAll="0"/>
    <pivotField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Quotation Value " fld="10" baseField="0" baseItem="0"/>
  </dataFields>
  <formats count="6">
    <format dxfId="45">
      <pivotArea collapsedLevelsAreSubtotals="1" fieldPosition="0">
        <references count="1">
          <reference field="23" count="1">
            <x v="1"/>
          </reference>
        </references>
      </pivotArea>
    </format>
    <format dxfId="44">
      <pivotArea type="all" dataOnly="0" outline="0" fieldPosition="0"/>
    </format>
    <format dxfId="43">
      <pivotArea outline="0" collapsedLevelsAreSubtotals="1" fieldPosition="0"/>
    </format>
    <format dxfId="42">
      <pivotArea field="23" type="button" dataOnly="0" labelOnly="1" outline="0" axis="axisRow" fieldPosition="0"/>
    </format>
    <format dxfId="41">
      <pivotArea dataOnly="0" labelOnly="1" fieldPosition="0">
        <references count="1">
          <reference field="23" count="12">
            <x v="1"/>
            <x v="2"/>
            <x v="3"/>
            <x v="4"/>
            <x v="5"/>
            <x v="6"/>
            <x v="7"/>
            <x v="8"/>
            <x v="9"/>
            <x v="10"/>
            <x v="11"/>
            <x v="12"/>
          </reference>
        </references>
      </pivotArea>
    </format>
    <format dxfId="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D5EBE2-E1BA-473A-92BC-91B7DE12E1FC}"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dataField="1" numFmtId="3" showAll="0"/>
    <pivotField showAll="0"/>
    <pivotField showAll="0"/>
    <pivotField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PO Value" fld="12" baseField="23" baseItem="1"/>
  </dataFields>
  <formats count="8">
    <format dxfId="39">
      <pivotArea collapsedLevelsAreSubtotals="1" fieldPosition="0">
        <references count="1">
          <reference field="23" count="1">
            <x v="1"/>
          </reference>
        </references>
      </pivotArea>
    </format>
    <format dxfId="38">
      <pivotArea collapsedLevelsAreSubtotals="1" fieldPosition="0">
        <references count="1">
          <reference field="23" count="11">
            <x v="2"/>
            <x v="3"/>
            <x v="4"/>
            <x v="5"/>
            <x v="6"/>
            <x v="7"/>
            <x v="8"/>
            <x v="9"/>
            <x v="10"/>
            <x v="11"/>
            <x v="12"/>
          </reference>
        </references>
      </pivotArea>
    </format>
    <format dxfId="37">
      <pivotArea grandRow="1" outline="0" collapsedLevelsAreSubtotals="1" fieldPosition="0"/>
    </format>
    <format dxfId="36">
      <pivotArea type="all" dataOnly="0" outline="0" fieldPosition="0"/>
    </format>
    <format dxfId="35">
      <pivotArea outline="0" collapsedLevelsAreSubtotals="1" fieldPosition="0"/>
    </format>
    <format dxfId="34">
      <pivotArea field="23" type="button" dataOnly="0" labelOnly="1" outline="0" axis="axisRow" fieldPosition="0"/>
    </format>
    <format dxfId="33">
      <pivotArea dataOnly="0" labelOnly="1" fieldPosition="0">
        <references count="1">
          <reference field="23" count="12">
            <x v="1"/>
            <x v="2"/>
            <x v="3"/>
            <x v="4"/>
            <x v="5"/>
            <x v="6"/>
            <x v="7"/>
            <x v="8"/>
            <x v="9"/>
            <x v="10"/>
            <x v="11"/>
            <x v="12"/>
          </reference>
        </references>
      </pivotArea>
    </format>
    <format dxfId="3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16184A-EFF6-4C88-AA63-92D0D381F82B}"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showAll="0"/>
    <pivotField dataField="1"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Amount Saved" fld="15" baseField="23" baseItem="1"/>
  </dataFields>
  <formats count="6">
    <format dxfId="31">
      <pivotArea collapsedLevelsAreSubtotals="1" fieldPosition="0">
        <references count="1">
          <reference field="23" count="1">
            <x v="1"/>
          </reference>
        </references>
      </pivotArea>
    </format>
    <format dxfId="30">
      <pivotArea type="all" dataOnly="0" outline="0" fieldPosition="0"/>
    </format>
    <format dxfId="29">
      <pivotArea outline="0" collapsedLevelsAreSubtotals="1" fieldPosition="0"/>
    </format>
    <format dxfId="28">
      <pivotArea field="23" type="button" dataOnly="0" labelOnly="1" outline="0" axis="axisRow" fieldPosition="0"/>
    </format>
    <format dxfId="27">
      <pivotArea dataOnly="0" labelOnly="1" fieldPosition="0">
        <references count="1">
          <reference field="23" count="12">
            <x v="1"/>
            <x v="2"/>
            <x v="3"/>
            <x v="4"/>
            <x v="5"/>
            <x v="6"/>
            <x v="7"/>
            <x v="8"/>
            <x v="9"/>
            <x v="10"/>
            <x v="11"/>
            <x v="12"/>
          </reference>
        </references>
      </pivotArea>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1A58860-313F-41ED-9C52-2C98FF95962F}"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B18"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axis="axisRow" showAll="0" sortType="descending">
      <items count="16">
        <item x="5"/>
        <item x="0"/>
        <item x="12"/>
        <item x="6"/>
        <item x="14"/>
        <item x="2"/>
        <item x="9"/>
        <item x="4"/>
        <item x="8"/>
        <item x="13"/>
        <item x="10"/>
        <item x="1"/>
        <item x="7"/>
        <item x="11"/>
        <item x="3"/>
        <item t="default"/>
      </items>
      <autoSortScope>
        <pivotArea dataOnly="0" outline="0" fieldPosition="0">
          <references count="1">
            <reference field="4294967294" count="1" selected="0">
              <x v="0"/>
            </reference>
          </references>
        </pivotArea>
      </autoSortScope>
    </pivotField>
    <pivotField numFmtId="3" showAll="0"/>
    <pivotField numFmtId="3" showAll="0"/>
    <pivotField numFmtId="3" showAll="0"/>
    <pivotField numFmtId="3" showAll="0"/>
    <pivotField numFmtId="3" showAll="0"/>
    <pivotField showAll="0"/>
    <pivotField showAll="0"/>
    <pivotField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dataField="1"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7"/>
  </rowFields>
  <rowItems count="15">
    <i>
      <x v="8"/>
    </i>
    <i>
      <x/>
    </i>
    <i>
      <x v="6"/>
    </i>
    <i>
      <x v="4"/>
    </i>
    <i>
      <x v="14"/>
    </i>
    <i>
      <x v="5"/>
    </i>
    <i>
      <x v="7"/>
    </i>
    <i>
      <x v="11"/>
    </i>
    <i>
      <x v="3"/>
    </i>
    <i>
      <x v="12"/>
    </i>
    <i>
      <x v="9"/>
    </i>
    <i>
      <x v="1"/>
    </i>
    <i>
      <x v="13"/>
    </i>
    <i>
      <x v="2"/>
    </i>
    <i>
      <x v="10"/>
    </i>
  </rowItems>
  <colItems count="1">
    <i/>
  </colItems>
  <dataFields count="1">
    <dataField name=" item pruchase order " fld="23" subtotal="count" baseField="7" baseItem="8"/>
  </dataFields>
  <formats count="6">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7" type="button" dataOnly="0" labelOnly="1" outline="0" axis="axisRow" fieldPosition="0"/>
    </format>
    <format dxfId="21">
      <pivotArea dataOnly="0" labelOnly="1" fieldPosition="0">
        <references count="1">
          <reference field="7" count="0"/>
        </references>
      </pivotArea>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70739C-BE88-4593-B159-BEB5263AF23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8"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axis="axisRow" showAll="0">
      <items count="6">
        <item x="0"/>
        <item x="3"/>
        <item x="2"/>
        <item x="4"/>
        <item x="1"/>
        <item t="default"/>
      </items>
    </pivotField>
    <pivotField dataField="1" numFmtId="164" showAll="0"/>
    <pivotField showAll="0"/>
    <pivotField numFmtId="3" showAll="0"/>
    <pivotField showAll="0"/>
    <pivotField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14"/>
  </rowFields>
  <rowItems count="5">
    <i>
      <x/>
    </i>
    <i>
      <x v="1"/>
    </i>
    <i>
      <x v="2"/>
    </i>
    <i>
      <x v="3"/>
    </i>
    <i>
      <x v="4"/>
    </i>
  </rowItems>
  <colItems count="1">
    <i/>
  </colItems>
  <dataFields count="1">
    <dataField name="category wise saved" fld="15" baseField="14" baseItem="0"/>
  </dataFields>
  <formats count="6">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14" type="button" dataOnly="0" labelOnly="1" outline="0" axis="axisRow" fieldPosition="0"/>
    </format>
    <format dxfId="15">
      <pivotArea dataOnly="0" labelOnly="1" fieldPosition="0">
        <references count="1">
          <reference field="14" count="0"/>
        </references>
      </pivotArea>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6F072B1-F8A5-4B61-BB3D-F0D4016E41D8}"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3" showAll="0"/>
    <pivotField numFmtId="3" showAll="0"/>
    <pivotField numFmtId="3" showAll="0"/>
    <pivotField numFmtId="3" showAll="0"/>
    <pivotField numFmtId="3" showAll="0"/>
    <pivotField showAll="0"/>
    <pivotField showAll="0"/>
    <pivotField numFmtId="164" showAll="0"/>
    <pivotField showAll="0"/>
    <pivotField numFmtId="3" showAll="0"/>
    <pivotField showAll="0"/>
    <pivotField dataField="1" numFmtId="3" showAll="0"/>
    <pivotField numFmtId="164"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remaining quantity" fld="19" baseField="23" baseItem="1"/>
  </dataFields>
  <formats count="5">
    <format dxfId="13">
      <pivotArea type="all" dataOnly="0" outline="0" fieldPosition="0"/>
    </format>
    <format dxfId="12">
      <pivotArea outline="0" collapsedLevelsAreSubtotals="1" fieldPosition="0"/>
    </format>
    <format dxfId="11">
      <pivotArea field="23" type="button" dataOnly="0" labelOnly="1" outline="0" axis="axisRow" fieldPosition="0"/>
    </format>
    <format dxfId="10">
      <pivotArea dataOnly="0" labelOnly="1" fieldPosition="0">
        <references count="1">
          <reference field="23" count="12">
            <x v="1"/>
            <x v="2"/>
            <x v="3"/>
            <x v="4"/>
            <x v="5"/>
            <x v="6"/>
            <x v="7"/>
            <x v="8"/>
            <x v="9"/>
            <x v="10"/>
            <x v="11"/>
            <x v="12"/>
          </reference>
        </references>
      </pivotArea>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0D7C7C-FCCB-4D13-927F-6DEB9A37A12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7">
    <pivotField showAll="0">
      <items count="4">
        <item x="0"/>
        <item x="1"/>
        <item x="2"/>
        <item t="default"/>
      </items>
    </pivotField>
    <pivotField showAll="0"/>
    <pivotField numFmtId="14" showAll="0"/>
    <pivotField numFmtId="14" showAll="0"/>
    <pivotField numFmtId="14" showAll="0"/>
    <pivotField showAll="0"/>
    <pivotField showAll="0"/>
    <pivotField showAll="0"/>
    <pivotField numFmtId="42" showAll="0"/>
    <pivotField numFmtId="3" showAll="0"/>
    <pivotField numFmtId="42" showAll="0"/>
    <pivotField numFmtId="42" showAll="0"/>
    <pivotField numFmtId="44" showAll="0"/>
    <pivotField showAll="0"/>
    <pivotField showAll="0"/>
    <pivotField numFmtId="42" showAll="0"/>
    <pivotField showAll="0"/>
    <pivotField numFmtId="42" showAll="0"/>
    <pivotField numFmtId="42" showAll="0"/>
    <pivotField numFmtId="3" showAll="0"/>
    <pivotField dataField="1" numFmtId="42"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23"/>
  </rowFields>
  <rowItems count="12">
    <i>
      <x v="1"/>
    </i>
    <i>
      <x v="2"/>
    </i>
    <i>
      <x v="3"/>
    </i>
    <i>
      <x v="4"/>
    </i>
    <i>
      <x v="5"/>
    </i>
    <i>
      <x v="6"/>
    </i>
    <i>
      <x v="7"/>
    </i>
    <i>
      <x v="8"/>
    </i>
    <i>
      <x v="9"/>
    </i>
    <i>
      <x v="10"/>
    </i>
    <i>
      <x v="11"/>
    </i>
    <i>
      <x v="12"/>
    </i>
  </rowItems>
  <colItems count="1">
    <i/>
  </colItems>
  <dataFields count="1">
    <dataField name=" Open PO Amount" fld="20" baseField="23" baseItem="1" numFmtId="42"/>
  </dataFields>
  <formats count="5">
    <format dxfId="8">
      <pivotArea type="all" dataOnly="0" outline="0" fieldPosition="0"/>
    </format>
    <format dxfId="7">
      <pivotArea outline="0" collapsedLevelsAreSubtotals="1" fieldPosition="0"/>
    </format>
    <format dxfId="6">
      <pivotArea field="23" type="button" dataOnly="0" labelOnly="1" outline="0" axis="axisRow" fieldPosition="0"/>
    </format>
    <format dxfId="5">
      <pivotArea dataOnly="0" labelOnly="1" fieldPosition="0">
        <references count="1">
          <reference field="23" count="12">
            <x v="1"/>
            <x v="2"/>
            <x v="3"/>
            <x v="4"/>
            <x v="5"/>
            <x v="6"/>
            <x v="7"/>
            <x v="8"/>
            <x v="9"/>
            <x v="10"/>
            <x v="11"/>
            <x v="12"/>
          </reference>
        </references>
      </pivotArea>
    </format>
    <format dxfId="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6D423FE-7BCC-48FD-A2A4-41853D8484B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6" firstHeaderRow="1" firstDataRow="1" firstDataCol="1"/>
  <pivotFields count="27">
    <pivotField axis="axisRow" showAll="0">
      <items count="4">
        <item x="0"/>
        <item x="1"/>
        <item x="2"/>
        <item t="default"/>
      </items>
    </pivotField>
    <pivotField showAll="0"/>
    <pivotField numFmtId="14" showAll="0"/>
    <pivotField numFmtId="14" showAll="0"/>
    <pivotField numFmtId="14" showAll="0"/>
    <pivotField showAll="0"/>
    <pivotField showAll="0"/>
    <pivotField showAll="0"/>
    <pivotField numFmtId="42" showAll="0"/>
    <pivotField numFmtId="3" showAll="0"/>
    <pivotField numFmtId="42" showAll="0"/>
    <pivotField numFmtId="42" showAll="0"/>
    <pivotField dataField="1" numFmtId="44" showAll="0"/>
    <pivotField showAll="0"/>
    <pivotField showAll="0"/>
    <pivotField numFmtId="42" showAll="0"/>
    <pivotField showAll="0"/>
    <pivotField numFmtId="42" showAll="0"/>
    <pivotField numFmtId="42" showAll="0"/>
    <pivotField numFmtId="3" showAll="0"/>
    <pivotField numFmtId="42" showAll="0"/>
    <pivotField showAll="0"/>
    <pivotField numFmtId="17"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t="default"/>
      </items>
    </pivotField>
    <pivotField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 dragToRow="0" dragToCol="0" dragToPage="0" showAll="0" defaultSubtotal="0"/>
  </pivotFields>
  <rowFields count="1">
    <field x="0"/>
  </rowFields>
  <rowItems count="3">
    <i>
      <x/>
    </i>
    <i>
      <x v="1"/>
    </i>
    <i>
      <x v="2"/>
    </i>
  </rowItems>
  <colItems count="1">
    <i/>
  </colItems>
  <dataFields count="1">
    <dataField name="Indentor PO  " fld="12" baseField="0" baseItem="0"/>
  </dataFields>
  <formats count="4">
    <format dxfId="3">
      <pivotArea dataOnly="0" labelOnly="1" outline="0" axis="axisValues" fieldPosition="0"/>
    </format>
    <format dxfId="2">
      <pivotArea collapsedLevelsAreSubtotals="1" fieldPosition="0">
        <references count="1">
          <reference field="0" count="1">
            <x v="0"/>
          </reference>
        </references>
      </pivotArea>
    </format>
    <format dxfId="1">
      <pivotArea collapsedLevelsAreSubtotals="1" fieldPosition="0">
        <references count="1">
          <reference field="0" count="1">
            <x v="2"/>
          </reference>
        </references>
      </pivotArea>
    </format>
    <format dxfId="0">
      <pivotArea collapsedLevelsAreSubtotals="1" fieldPosition="0">
        <references count="1">
          <reference field="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entor" xr10:uid="{576CC924-2F57-487E-BDFC-6DE5B9C8DE97}" sourceName="Indentor">
  <pivotTables>
    <pivotTable tabId="2" name="PivotTable1"/>
    <pivotTable tabId="17" name="PivotTable5"/>
    <pivotTable tabId="19" name="PivotTable1"/>
    <pivotTable tabId="18" name="PivotTable6"/>
    <pivotTable tabId="21" name="PivotTable1"/>
    <pivotTable tabId="15" name="PivotTable4"/>
    <pivotTable tabId="5" name="PivotTable3"/>
    <pivotTable tabId="13" name="PivotTable3"/>
    <pivotTable tabId="20" name="PivotTable1"/>
    <pivotTable tabId="3" name="PivotTable2"/>
  </pivotTables>
  <data>
    <tabular pivotCacheId="1660623658">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 xr10:uid="{A2DD5791-356E-4CA9-8EED-7189120C7C1A}" sourceName="Months (Month)">
  <pivotTables>
    <pivotTable tabId="17" name="PivotTable5"/>
    <pivotTable tabId="19" name="PivotTable1"/>
    <pivotTable tabId="22" name="PivotTable2"/>
    <pivotTable tabId="18" name="PivotTable6"/>
    <pivotTable tabId="21" name="PivotTable1"/>
    <pivotTable tabId="15" name="PivotTable4"/>
    <pivotTable tabId="13" name="PivotTable3"/>
    <pivotTable tabId="20" name="PivotTable1"/>
  </pivotTables>
  <data>
    <tabular pivotCacheId="1660623658">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Month" xr10:uid="{0857E205-23E1-4DBC-8142-9FC3FF164C0A}" sourceName="Years (Month)">
  <pivotTables>
    <pivotTable tabId="2" name="PivotTable1"/>
    <pivotTable tabId="17" name="PivotTable5"/>
    <pivotTable tabId="19" name="PivotTable1"/>
    <pivotTable tabId="22" name="PivotTable2"/>
    <pivotTable tabId="18" name="PivotTable6"/>
    <pivotTable tabId="21" name="PivotTable1"/>
    <pivotTable tabId="15" name="PivotTable4"/>
    <pivotTable tabId="5" name="PivotTable3"/>
    <pivotTable tabId="13" name="PivotTable3"/>
    <pivotTable tabId="20" name="PivotTable1"/>
  </pivotTables>
  <data>
    <tabular pivotCacheId="1660623658">
      <items count="4">
        <i x="1" s="1"/>
        <i x="2" s="1"/>
        <i x="0"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entor" xr10:uid="{7ACB2B11-EC6C-4074-901D-40712B7252E0}" cache="Slicer_Indentor" caption="Indentor" style="SlicerStyleLight1 2" rowHeight="234950"/>
  <slicer name="Months (Month)" xr10:uid="{7E970EE4-339F-451B-8D9C-192233D54C9F}" cache="Slicer_Months__Month" caption="Months (Month)" style="SlicerStyleLight1 2" rowHeight="234950"/>
  <slicer name="Years (Month)" xr10:uid="{70179AE2-2537-411F-8DEE-31BEF7F668D5}" cache="Slicer_Years__Month" caption="Years (Month)" style="SlicerStyleLight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A4B8-E7C0-4EEA-8EA5-E4A0B5236E6F}">
  <sheetPr codeName="Sheet14"/>
  <dimension ref="B1:X51"/>
  <sheetViews>
    <sheetView workbookViewId="0">
      <selection activeCell="E11" sqref="E11"/>
    </sheetView>
  </sheetViews>
  <sheetFormatPr defaultRowHeight="14.4" x14ac:dyDescent="0.3"/>
  <cols>
    <col min="4" max="4" width="15.5546875" bestFit="1" customWidth="1"/>
    <col min="5" max="5" width="14.88671875" bestFit="1" customWidth="1"/>
    <col min="6" max="6" width="12.77734375" customWidth="1"/>
    <col min="7" max="7" width="10.44140625" customWidth="1"/>
    <col min="8" max="8" width="10.77734375" bestFit="1" customWidth="1"/>
    <col min="9" max="9" width="14.21875" bestFit="1" customWidth="1"/>
    <col min="10" max="10" width="8.77734375" bestFit="1" customWidth="1"/>
    <col min="12" max="12" width="14.5546875" bestFit="1" customWidth="1"/>
    <col min="14" max="14" width="13.21875" bestFit="1" customWidth="1"/>
    <col min="16" max="16" width="14.77734375" bestFit="1" customWidth="1"/>
    <col min="20" max="20" width="11.33203125" customWidth="1"/>
    <col min="21" max="21" width="10.88671875" bestFit="1" customWidth="1"/>
    <col min="22" max="22" width="11.33203125" bestFit="1" customWidth="1"/>
  </cols>
  <sheetData>
    <row r="1" spans="2:24" x14ac:dyDescent="0.3">
      <c r="V1" s="24"/>
    </row>
    <row r="3" spans="2:24" x14ac:dyDescent="0.3">
      <c r="B3" s="1" t="s">
        <v>0</v>
      </c>
      <c r="C3" s="1" t="s">
        <v>4</v>
      </c>
      <c r="D3" s="6" t="s">
        <v>5</v>
      </c>
      <c r="E3" s="6" t="s">
        <v>6</v>
      </c>
      <c r="F3" s="6" t="s">
        <v>7</v>
      </c>
      <c r="G3" s="1" t="s">
        <v>8</v>
      </c>
      <c r="H3" s="1" t="s">
        <v>9</v>
      </c>
      <c r="I3" s="1" t="s">
        <v>10</v>
      </c>
      <c r="J3" s="1" t="s">
        <v>11</v>
      </c>
      <c r="K3" s="1" t="s">
        <v>27</v>
      </c>
      <c r="L3" s="8" t="s">
        <v>28</v>
      </c>
      <c r="M3" s="1" t="s">
        <v>29</v>
      </c>
      <c r="N3" s="8" t="s">
        <v>30</v>
      </c>
      <c r="O3" s="1" t="s">
        <v>31</v>
      </c>
      <c r="P3" s="1" t="s">
        <v>32</v>
      </c>
      <c r="Q3" s="8" t="s">
        <v>42</v>
      </c>
      <c r="R3" s="9" t="s">
        <v>43</v>
      </c>
      <c r="S3" s="9" t="s">
        <v>44</v>
      </c>
      <c r="T3" s="9" t="s">
        <v>45</v>
      </c>
      <c r="U3" s="9" t="s">
        <v>46</v>
      </c>
      <c r="V3" s="9" t="s">
        <v>47</v>
      </c>
      <c r="W3" s="9" t="s">
        <v>48</v>
      </c>
      <c r="X3" s="9" t="s">
        <v>49</v>
      </c>
    </row>
    <row r="4" spans="2:24" x14ac:dyDescent="0.3">
      <c r="B4" s="2" t="s">
        <v>1</v>
      </c>
      <c r="C4" s="2">
        <v>101</v>
      </c>
      <c r="D4" s="4">
        <v>44652</v>
      </c>
      <c r="E4" s="4">
        <f>D4+2</f>
        <v>44654</v>
      </c>
      <c r="F4" s="5">
        <f>E4+2</f>
        <v>44656</v>
      </c>
      <c r="G4" s="2">
        <v>10001</v>
      </c>
      <c r="H4" s="2">
        <v>501</v>
      </c>
      <c r="I4" s="3" t="s">
        <v>12</v>
      </c>
      <c r="J4" s="24">
        <v>600</v>
      </c>
      <c r="K4" s="7">
        <v>400</v>
      </c>
      <c r="L4" s="24">
        <f>K4*J4</f>
        <v>240000</v>
      </c>
      <c r="M4" s="24">
        <v>550</v>
      </c>
      <c r="N4" s="23">
        <f>M4*K4</f>
        <v>220000</v>
      </c>
      <c r="O4" s="3" t="s">
        <v>33</v>
      </c>
      <c r="P4" s="3" t="s">
        <v>34</v>
      </c>
      <c r="Q4" s="24">
        <f>L4-N4</f>
        <v>20000</v>
      </c>
      <c r="R4" s="7">
        <f>K4</f>
        <v>400</v>
      </c>
      <c r="S4" s="24">
        <f>M4</f>
        <v>550</v>
      </c>
      <c r="T4" s="24">
        <f>S4*R4</f>
        <v>220000</v>
      </c>
      <c r="U4" s="7">
        <f>K4-R4</f>
        <v>0</v>
      </c>
      <c r="V4" s="24">
        <f>U4*M4</f>
        <v>0</v>
      </c>
      <c r="W4" s="10">
        <v>0</v>
      </c>
      <c r="X4" s="11">
        <f>F4</f>
        <v>44656</v>
      </c>
    </row>
    <row r="5" spans="2:24" x14ac:dyDescent="0.3">
      <c r="B5" s="3" t="s">
        <v>1</v>
      </c>
      <c r="C5" s="3">
        <v>102</v>
      </c>
      <c r="D5" s="5">
        <v>44658</v>
      </c>
      <c r="E5" s="5">
        <f>D5+3</f>
        <v>44661</v>
      </c>
      <c r="F5" s="5">
        <f>E5+2</f>
        <v>44663</v>
      </c>
      <c r="G5" s="3">
        <v>10002</v>
      </c>
      <c r="H5" s="2">
        <v>501</v>
      </c>
      <c r="I5" s="3" t="s">
        <v>13</v>
      </c>
      <c r="J5" s="24">
        <v>6400</v>
      </c>
      <c r="K5" s="7">
        <v>100</v>
      </c>
      <c r="L5" s="24">
        <f t="shared" ref="L5:L51" si="0">K5*J5</f>
        <v>640000</v>
      </c>
      <c r="M5" s="24">
        <v>5950</v>
      </c>
      <c r="N5" s="23">
        <f>M5*K5</f>
        <v>595000</v>
      </c>
      <c r="O5" s="3" t="s">
        <v>35</v>
      </c>
      <c r="P5" s="3" t="s">
        <v>34</v>
      </c>
      <c r="Q5" s="24">
        <f t="shared" ref="Q5:Q51" si="1">L5-N5</f>
        <v>45000</v>
      </c>
      <c r="R5" s="7">
        <f t="shared" ref="R5:R7" si="2">K5</f>
        <v>100</v>
      </c>
      <c r="S5" s="24">
        <f t="shared" ref="S5:S51" si="3">M5</f>
        <v>5950</v>
      </c>
      <c r="T5" s="24">
        <f t="shared" ref="T5:T51" si="4">S5*R5</f>
        <v>595000</v>
      </c>
      <c r="U5" s="7">
        <f t="shared" ref="U5:U51" si="5">K5-R5</f>
        <v>0</v>
      </c>
      <c r="V5" s="24">
        <f t="shared" ref="V5:V51" si="6">U5*M5</f>
        <v>0</v>
      </c>
      <c r="W5" s="10">
        <v>0</v>
      </c>
      <c r="X5" s="11">
        <f t="shared" ref="X5:X51" si="7">F5</f>
        <v>44663</v>
      </c>
    </row>
    <row r="6" spans="2:24" x14ac:dyDescent="0.3">
      <c r="B6" s="3" t="s">
        <v>2</v>
      </c>
      <c r="C6" s="2">
        <v>103</v>
      </c>
      <c r="D6" s="5">
        <v>44666</v>
      </c>
      <c r="E6" s="4">
        <f>D6+2</f>
        <v>44668</v>
      </c>
      <c r="F6" s="5">
        <f>E6+3</f>
        <v>44671</v>
      </c>
      <c r="G6" s="2">
        <v>10003</v>
      </c>
      <c r="H6" s="3">
        <v>502</v>
      </c>
      <c r="I6" s="3" t="s">
        <v>14</v>
      </c>
      <c r="J6" s="24">
        <v>230</v>
      </c>
      <c r="K6" s="7">
        <v>687</v>
      </c>
      <c r="L6" s="24">
        <f t="shared" si="0"/>
        <v>158010</v>
      </c>
      <c r="M6" s="24">
        <v>220</v>
      </c>
      <c r="N6" s="23">
        <f t="shared" ref="N6:N51" si="8">M6*K6</f>
        <v>151140</v>
      </c>
      <c r="O6" s="3" t="s">
        <v>36</v>
      </c>
      <c r="P6" s="3" t="s">
        <v>37</v>
      </c>
      <c r="Q6" s="24">
        <f t="shared" si="1"/>
        <v>6870</v>
      </c>
      <c r="R6" s="7">
        <f t="shared" si="2"/>
        <v>687</v>
      </c>
      <c r="S6" s="24">
        <f t="shared" si="3"/>
        <v>220</v>
      </c>
      <c r="T6" s="24">
        <f t="shared" si="4"/>
        <v>151140</v>
      </c>
      <c r="U6" s="7">
        <f t="shared" si="5"/>
        <v>0</v>
      </c>
      <c r="V6" s="24">
        <f t="shared" si="6"/>
        <v>0</v>
      </c>
      <c r="W6" s="10">
        <v>0</v>
      </c>
      <c r="X6" s="11">
        <f t="shared" si="7"/>
        <v>44671</v>
      </c>
    </row>
    <row r="7" spans="2:24" x14ac:dyDescent="0.3">
      <c r="B7" s="3" t="s">
        <v>3</v>
      </c>
      <c r="C7" s="3">
        <v>104</v>
      </c>
      <c r="D7" s="5">
        <v>44673</v>
      </c>
      <c r="E7" s="5">
        <f>D7+3</f>
        <v>44676</v>
      </c>
      <c r="F7" s="5">
        <f>E7+2</f>
        <v>44678</v>
      </c>
      <c r="G7" s="2">
        <v>10004</v>
      </c>
      <c r="H7" s="3">
        <v>502</v>
      </c>
      <c r="I7" s="3" t="s">
        <v>15</v>
      </c>
      <c r="J7" s="24">
        <v>82</v>
      </c>
      <c r="K7" s="7">
        <v>200</v>
      </c>
      <c r="L7" s="24">
        <f t="shared" si="0"/>
        <v>16400</v>
      </c>
      <c r="M7" s="24">
        <v>80</v>
      </c>
      <c r="N7" s="23">
        <f t="shared" si="8"/>
        <v>16000</v>
      </c>
      <c r="O7" s="3" t="s">
        <v>33</v>
      </c>
      <c r="P7" s="3" t="s">
        <v>37</v>
      </c>
      <c r="Q7" s="24">
        <f t="shared" si="1"/>
        <v>400</v>
      </c>
      <c r="R7" s="7">
        <f t="shared" si="2"/>
        <v>200</v>
      </c>
      <c r="S7" s="24">
        <f t="shared" si="3"/>
        <v>80</v>
      </c>
      <c r="T7" s="24">
        <f t="shared" si="4"/>
        <v>16000</v>
      </c>
      <c r="U7" s="7">
        <f t="shared" si="5"/>
        <v>0</v>
      </c>
      <c r="V7" s="24">
        <f t="shared" si="6"/>
        <v>0</v>
      </c>
      <c r="W7" s="10">
        <v>0</v>
      </c>
      <c r="X7" s="11">
        <f t="shared" si="7"/>
        <v>44678</v>
      </c>
    </row>
    <row r="8" spans="2:24" x14ac:dyDescent="0.3">
      <c r="B8" s="3" t="s">
        <v>2</v>
      </c>
      <c r="C8" s="2">
        <v>105</v>
      </c>
      <c r="D8" s="5">
        <v>44674</v>
      </c>
      <c r="E8" s="5">
        <f>D8+4</f>
        <v>44678</v>
      </c>
      <c r="F8" s="4">
        <f>E8+1</f>
        <v>44679</v>
      </c>
      <c r="G8" s="3">
        <v>10005</v>
      </c>
      <c r="H8" s="3">
        <v>503</v>
      </c>
      <c r="I8" s="3" t="s">
        <v>16</v>
      </c>
      <c r="J8" s="24">
        <v>223</v>
      </c>
      <c r="K8" s="7">
        <v>58</v>
      </c>
      <c r="L8" s="24">
        <f t="shared" si="0"/>
        <v>12934</v>
      </c>
      <c r="M8" s="24">
        <v>220</v>
      </c>
      <c r="N8" s="23">
        <f t="shared" si="8"/>
        <v>12760</v>
      </c>
      <c r="O8" s="3" t="s">
        <v>35</v>
      </c>
      <c r="P8" s="3" t="s">
        <v>38</v>
      </c>
      <c r="Q8" s="24">
        <f t="shared" si="1"/>
        <v>174</v>
      </c>
      <c r="R8" s="7">
        <v>55</v>
      </c>
      <c r="S8" s="24">
        <f t="shared" si="3"/>
        <v>220</v>
      </c>
      <c r="T8" s="24">
        <f t="shared" si="4"/>
        <v>12100</v>
      </c>
      <c r="U8" s="7">
        <f t="shared" si="5"/>
        <v>3</v>
      </c>
      <c r="V8" s="24">
        <f t="shared" si="6"/>
        <v>660</v>
      </c>
      <c r="W8" s="10">
        <v>1</v>
      </c>
      <c r="X8" s="11">
        <f t="shared" si="7"/>
        <v>44679</v>
      </c>
    </row>
    <row r="9" spans="2:24" x14ac:dyDescent="0.3">
      <c r="B9" s="3" t="s">
        <v>2</v>
      </c>
      <c r="C9" s="3">
        <v>106</v>
      </c>
      <c r="D9" s="5">
        <v>44677</v>
      </c>
      <c r="E9" s="4">
        <f t="shared" ref="E9:E10" si="9">D9+2</f>
        <v>44679</v>
      </c>
      <c r="F9" s="4">
        <f>E9+1</f>
        <v>44680</v>
      </c>
      <c r="G9" s="2">
        <v>10006</v>
      </c>
      <c r="H9" s="3">
        <v>503</v>
      </c>
      <c r="I9" s="3" t="s">
        <v>17</v>
      </c>
      <c r="J9" s="24">
        <v>990</v>
      </c>
      <c r="K9" s="7">
        <v>20</v>
      </c>
      <c r="L9" s="24">
        <f t="shared" si="0"/>
        <v>19800</v>
      </c>
      <c r="M9" s="24">
        <v>950</v>
      </c>
      <c r="N9" s="23">
        <f t="shared" si="8"/>
        <v>19000</v>
      </c>
      <c r="O9" s="3" t="s">
        <v>33</v>
      </c>
      <c r="P9" s="3" t="s">
        <v>38</v>
      </c>
      <c r="Q9" s="24">
        <f t="shared" si="1"/>
        <v>800</v>
      </c>
      <c r="R9" s="7">
        <f>K9</f>
        <v>20</v>
      </c>
      <c r="S9" s="24">
        <f t="shared" si="3"/>
        <v>950</v>
      </c>
      <c r="T9" s="24">
        <f t="shared" si="4"/>
        <v>19000</v>
      </c>
      <c r="U9" s="7">
        <f t="shared" si="5"/>
        <v>0</v>
      </c>
      <c r="V9" s="24">
        <f t="shared" si="6"/>
        <v>0</v>
      </c>
      <c r="W9" s="10">
        <v>0</v>
      </c>
      <c r="X9" s="11">
        <f t="shared" si="7"/>
        <v>44680</v>
      </c>
    </row>
    <row r="10" spans="2:24" x14ac:dyDescent="0.3">
      <c r="B10" s="3" t="s">
        <v>3</v>
      </c>
      <c r="C10" s="2">
        <v>107</v>
      </c>
      <c r="D10" s="5">
        <v>44696</v>
      </c>
      <c r="E10" s="4">
        <f t="shared" si="9"/>
        <v>44698</v>
      </c>
      <c r="F10" s="5">
        <f>E10+3</f>
        <v>44701</v>
      </c>
      <c r="G10" s="2">
        <v>10007</v>
      </c>
      <c r="H10" s="3">
        <v>503</v>
      </c>
      <c r="I10" s="3" t="s">
        <v>18</v>
      </c>
      <c r="J10" s="24">
        <v>930</v>
      </c>
      <c r="K10" s="7">
        <v>20</v>
      </c>
      <c r="L10" s="24">
        <f t="shared" si="0"/>
        <v>18600</v>
      </c>
      <c r="M10" s="24">
        <v>900</v>
      </c>
      <c r="N10" s="23">
        <f t="shared" si="8"/>
        <v>18000</v>
      </c>
      <c r="O10" s="3" t="s">
        <v>36</v>
      </c>
      <c r="P10" s="3" t="s">
        <v>38</v>
      </c>
      <c r="Q10" s="24">
        <f t="shared" si="1"/>
        <v>600</v>
      </c>
      <c r="R10" s="7">
        <f>K10</f>
        <v>20</v>
      </c>
      <c r="S10" s="24">
        <f t="shared" si="3"/>
        <v>900</v>
      </c>
      <c r="T10" s="24">
        <f t="shared" si="4"/>
        <v>18000</v>
      </c>
      <c r="U10" s="7">
        <f t="shared" si="5"/>
        <v>0</v>
      </c>
      <c r="V10" s="24">
        <f t="shared" si="6"/>
        <v>0</v>
      </c>
      <c r="W10" s="10">
        <v>0</v>
      </c>
      <c r="X10" s="11">
        <f t="shared" si="7"/>
        <v>44701</v>
      </c>
    </row>
    <row r="11" spans="2:24" x14ac:dyDescent="0.3">
      <c r="B11" s="3" t="s">
        <v>1</v>
      </c>
      <c r="C11" s="3">
        <v>108</v>
      </c>
      <c r="D11" s="5">
        <v>44703</v>
      </c>
      <c r="E11" s="5">
        <f>D11+4</f>
        <v>44707</v>
      </c>
      <c r="F11" s="4">
        <f>E11+1</f>
        <v>44708</v>
      </c>
      <c r="G11" s="3">
        <v>10008</v>
      </c>
      <c r="H11" s="3">
        <v>504</v>
      </c>
      <c r="I11" s="3" t="s">
        <v>19</v>
      </c>
      <c r="J11" s="24">
        <v>12000</v>
      </c>
      <c r="K11" s="7">
        <v>23</v>
      </c>
      <c r="L11" s="24">
        <f t="shared" si="0"/>
        <v>276000</v>
      </c>
      <c r="M11" s="24">
        <v>11500</v>
      </c>
      <c r="N11" s="23">
        <f t="shared" si="8"/>
        <v>264500</v>
      </c>
      <c r="O11" s="3" t="s">
        <v>36</v>
      </c>
      <c r="P11" s="3" t="s">
        <v>39</v>
      </c>
      <c r="Q11" s="24">
        <f t="shared" si="1"/>
        <v>11500</v>
      </c>
      <c r="R11" s="7">
        <v>20</v>
      </c>
      <c r="S11" s="24">
        <f t="shared" si="3"/>
        <v>11500</v>
      </c>
      <c r="T11" s="24">
        <f t="shared" si="4"/>
        <v>230000</v>
      </c>
      <c r="U11" s="7">
        <f t="shared" si="5"/>
        <v>3</v>
      </c>
      <c r="V11" s="24">
        <f t="shared" si="6"/>
        <v>34500</v>
      </c>
      <c r="W11" s="10">
        <v>1</v>
      </c>
      <c r="X11" s="11">
        <f t="shared" si="7"/>
        <v>44708</v>
      </c>
    </row>
    <row r="12" spans="2:24" x14ac:dyDescent="0.3">
      <c r="B12" s="3" t="s">
        <v>3</v>
      </c>
      <c r="C12" s="2">
        <v>109</v>
      </c>
      <c r="D12" s="5">
        <v>44713</v>
      </c>
      <c r="E12" s="5">
        <f>D12+3</f>
        <v>44716</v>
      </c>
      <c r="F12" s="5">
        <f>E12+3</f>
        <v>44719</v>
      </c>
      <c r="G12" s="2">
        <v>10009</v>
      </c>
      <c r="H12" s="3">
        <v>504</v>
      </c>
      <c r="I12" s="3" t="s">
        <v>20</v>
      </c>
      <c r="J12" s="24">
        <v>355.9375</v>
      </c>
      <c r="K12" s="7">
        <v>800</v>
      </c>
      <c r="L12" s="24">
        <f t="shared" si="0"/>
        <v>284750</v>
      </c>
      <c r="M12" s="24">
        <v>340</v>
      </c>
      <c r="N12" s="23">
        <f t="shared" si="8"/>
        <v>272000</v>
      </c>
      <c r="O12" s="3" t="s">
        <v>33</v>
      </c>
      <c r="P12" s="3" t="s">
        <v>39</v>
      </c>
      <c r="Q12" s="24">
        <f t="shared" si="1"/>
        <v>12750</v>
      </c>
      <c r="R12" s="7">
        <f>K12</f>
        <v>800</v>
      </c>
      <c r="S12" s="24">
        <f t="shared" si="3"/>
        <v>340</v>
      </c>
      <c r="T12" s="24">
        <f t="shared" si="4"/>
        <v>272000</v>
      </c>
      <c r="U12" s="7">
        <f t="shared" si="5"/>
        <v>0</v>
      </c>
      <c r="V12" s="24">
        <f t="shared" si="6"/>
        <v>0</v>
      </c>
      <c r="W12" s="10">
        <v>0</v>
      </c>
      <c r="X12" s="11">
        <f t="shared" si="7"/>
        <v>44719</v>
      </c>
    </row>
    <row r="13" spans="2:24" x14ac:dyDescent="0.3">
      <c r="B13" s="3" t="s">
        <v>3</v>
      </c>
      <c r="C13" s="3">
        <v>110</v>
      </c>
      <c r="D13" s="5">
        <v>44719</v>
      </c>
      <c r="E13" s="5">
        <f>D13+2</f>
        <v>44721</v>
      </c>
      <c r="F13" s="5">
        <f t="shared" ref="F13:F18" si="10">E13+2</f>
        <v>44723</v>
      </c>
      <c r="G13" s="2">
        <v>10010</v>
      </c>
      <c r="H13" s="3">
        <v>505</v>
      </c>
      <c r="I13" s="3" t="s">
        <v>21</v>
      </c>
      <c r="J13" s="24">
        <v>40200</v>
      </c>
      <c r="K13" s="7">
        <v>5</v>
      </c>
      <c r="L13" s="24">
        <f t="shared" si="0"/>
        <v>201000</v>
      </c>
      <c r="M13" s="24">
        <v>36800</v>
      </c>
      <c r="N13" s="23">
        <f t="shared" si="8"/>
        <v>184000</v>
      </c>
      <c r="O13" s="3" t="s">
        <v>33</v>
      </c>
      <c r="P13" s="3" t="s">
        <v>39</v>
      </c>
      <c r="Q13" s="24">
        <f t="shared" si="1"/>
        <v>17000</v>
      </c>
      <c r="R13" s="7">
        <f t="shared" ref="R13:R15" si="11">K13</f>
        <v>5</v>
      </c>
      <c r="S13" s="24">
        <f t="shared" si="3"/>
        <v>36800</v>
      </c>
      <c r="T13" s="24">
        <f t="shared" si="4"/>
        <v>184000</v>
      </c>
      <c r="U13" s="7">
        <f t="shared" si="5"/>
        <v>0</v>
      </c>
      <c r="V13" s="24">
        <f t="shared" si="6"/>
        <v>0</v>
      </c>
      <c r="W13" s="10">
        <v>0</v>
      </c>
      <c r="X13" s="11">
        <f t="shared" si="7"/>
        <v>44723</v>
      </c>
    </row>
    <row r="14" spans="2:24" x14ac:dyDescent="0.3">
      <c r="B14" s="3" t="s">
        <v>2</v>
      </c>
      <c r="C14" s="2">
        <v>111</v>
      </c>
      <c r="D14" s="5">
        <v>44727</v>
      </c>
      <c r="E14" s="5">
        <f>D14+3</f>
        <v>44730</v>
      </c>
      <c r="F14" s="5">
        <f t="shared" si="10"/>
        <v>44732</v>
      </c>
      <c r="G14" s="3">
        <v>10011</v>
      </c>
      <c r="H14" s="3">
        <v>502</v>
      </c>
      <c r="I14" s="3" t="s">
        <v>22</v>
      </c>
      <c r="J14" s="24">
        <v>625</v>
      </c>
      <c r="K14" s="7">
        <v>10</v>
      </c>
      <c r="L14" s="24">
        <f t="shared" si="0"/>
        <v>6250</v>
      </c>
      <c r="M14" s="24">
        <v>580</v>
      </c>
      <c r="N14" s="23">
        <f t="shared" si="8"/>
        <v>5800</v>
      </c>
      <c r="O14" s="3" t="s">
        <v>36</v>
      </c>
      <c r="P14" s="3" t="s">
        <v>37</v>
      </c>
      <c r="Q14" s="24">
        <f t="shared" si="1"/>
        <v>450</v>
      </c>
      <c r="R14" s="7">
        <f t="shared" si="11"/>
        <v>10</v>
      </c>
      <c r="S14" s="24">
        <f t="shared" si="3"/>
        <v>580</v>
      </c>
      <c r="T14" s="24">
        <f t="shared" si="4"/>
        <v>5800</v>
      </c>
      <c r="U14" s="7">
        <f t="shared" si="5"/>
        <v>0</v>
      </c>
      <c r="V14" s="24">
        <f t="shared" si="6"/>
        <v>0</v>
      </c>
      <c r="W14" s="10">
        <v>0</v>
      </c>
      <c r="X14" s="11">
        <f t="shared" si="7"/>
        <v>44732</v>
      </c>
    </row>
    <row r="15" spans="2:24" x14ac:dyDescent="0.3">
      <c r="B15" s="3" t="s">
        <v>1</v>
      </c>
      <c r="C15" s="3">
        <v>112</v>
      </c>
      <c r="D15" s="5">
        <v>44730</v>
      </c>
      <c r="E15" s="5">
        <f>D15+4</f>
        <v>44734</v>
      </c>
      <c r="F15" s="5">
        <f t="shared" si="10"/>
        <v>44736</v>
      </c>
      <c r="G15" s="2">
        <v>10012</v>
      </c>
      <c r="H15" s="3">
        <v>506</v>
      </c>
      <c r="I15" s="3" t="s">
        <v>23</v>
      </c>
      <c r="J15" s="24">
        <v>20000</v>
      </c>
      <c r="K15" s="7">
        <v>5</v>
      </c>
      <c r="L15" s="24">
        <f t="shared" si="0"/>
        <v>100000</v>
      </c>
      <c r="M15" s="24">
        <v>18500</v>
      </c>
      <c r="N15" s="23">
        <f t="shared" si="8"/>
        <v>92500</v>
      </c>
      <c r="O15" s="3" t="s">
        <v>33</v>
      </c>
      <c r="P15" s="3" t="s">
        <v>40</v>
      </c>
      <c r="Q15" s="24">
        <f t="shared" si="1"/>
        <v>7500</v>
      </c>
      <c r="R15" s="7">
        <f t="shared" si="11"/>
        <v>5</v>
      </c>
      <c r="S15" s="24">
        <f t="shared" si="3"/>
        <v>18500</v>
      </c>
      <c r="T15" s="24">
        <f t="shared" si="4"/>
        <v>92500</v>
      </c>
      <c r="U15" s="7">
        <f t="shared" si="5"/>
        <v>0</v>
      </c>
      <c r="V15" s="24">
        <f t="shared" si="6"/>
        <v>0</v>
      </c>
      <c r="W15" s="10">
        <v>0</v>
      </c>
      <c r="X15" s="11">
        <f t="shared" si="7"/>
        <v>44736</v>
      </c>
    </row>
    <row r="16" spans="2:24" x14ac:dyDescent="0.3">
      <c r="B16" s="3" t="s">
        <v>1</v>
      </c>
      <c r="C16" s="2">
        <v>113</v>
      </c>
      <c r="D16" s="5">
        <v>44733</v>
      </c>
      <c r="E16" s="4">
        <f t="shared" ref="E16:E17" si="12">D16+2</f>
        <v>44735</v>
      </c>
      <c r="F16" s="5">
        <f t="shared" si="10"/>
        <v>44737</v>
      </c>
      <c r="G16" s="2">
        <v>10013</v>
      </c>
      <c r="H16" s="3">
        <v>507</v>
      </c>
      <c r="I16" s="3" t="s">
        <v>24</v>
      </c>
      <c r="J16" s="24">
        <v>1542</v>
      </c>
      <c r="K16" s="7">
        <v>204</v>
      </c>
      <c r="L16" s="24">
        <f t="shared" si="0"/>
        <v>314568</v>
      </c>
      <c r="M16" s="24">
        <v>1450</v>
      </c>
      <c r="N16" s="23">
        <f t="shared" si="8"/>
        <v>295800</v>
      </c>
      <c r="O16" s="3" t="s">
        <v>33</v>
      </c>
      <c r="P16" s="3" t="s">
        <v>40</v>
      </c>
      <c r="Q16" s="24">
        <f t="shared" si="1"/>
        <v>18768</v>
      </c>
      <c r="R16" s="7">
        <v>200</v>
      </c>
      <c r="S16" s="24">
        <f t="shared" si="3"/>
        <v>1450</v>
      </c>
      <c r="T16" s="24">
        <f t="shared" si="4"/>
        <v>290000</v>
      </c>
      <c r="U16" s="7">
        <f t="shared" si="5"/>
        <v>4</v>
      </c>
      <c r="V16" s="24">
        <f t="shared" si="6"/>
        <v>5800</v>
      </c>
      <c r="W16" s="10">
        <v>1</v>
      </c>
      <c r="X16" s="11">
        <f t="shared" si="7"/>
        <v>44737</v>
      </c>
    </row>
    <row r="17" spans="2:24" x14ac:dyDescent="0.3">
      <c r="B17" s="3" t="s">
        <v>3</v>
      </c>
      <c r="C17" s="3">
        <v>114</v>
      </c>
      <c r="D17" s="5">
        <v>44749</v>
      </c>
      <c r="E17" s="4">
        <f t="shared" si="12"/>
        <v>44751</v>
      </c>
      <c r="F17" s="5">
        <f t="shared" si="10"/>
        <v>44753</v>
      </c>
      <c r="G17" s="3">
        <v>10014</v>
      </c>
      <c r="H17" s="3">
        <v>502</v>
      </c>
      <c r="I17" s="3" t="s">
        <v>25</v>
      </c>
      <c r="J17" s="24">
        <v>28</v>
      </c>
      <c r="K17" s="7">
        <v>504</v>
      </c>
      <c r="L17" s="24">
        <f t="shared" si="0"/>
        <v>14112</v>
      </c>
      <c r="M17" s="24">
        <v>26</v>
      </c>
      <c r="N17" s="23">
        <f t="shared" si="8"/>
        <v>13104</v>
      </c>
      <c r="O17" s="3" t="s">
        <v>35</v>
      </c>
      <c r="P17" s="3" t="s">
        <v>37</v>
      </c>
      <c r="Q17" s="24">
        <f t="shared" si="1"/>
        <v>1008</v>
      </c>
      <c r="R17" s="7">
        <v>500</v>
      </c>
      <c r="S17" s="24">
        <f t="shared" si="3"/>
        <v>26</v>
      </c>
      <c r="T17" s="24">
        <f t="shared" si="4"/>
        <v>13000</v>
      </c>
      <c r="U17" s="7">
        <f t="shared" si="5"/>
        <v>4</v>
      </c>
      <c r="V17" s="24">
        <f t="shared" si="6"/>
        <v>104</v>
      </c>
      <c r="W17" s="10">
        <v>1</v>
      </c>
      <c r="X17" s="11">
        <f t="shared" si="7"/>
        <v>44753</v>
      </c>
    </row>
    <row r="18" spans="2:24" x14ac:dyDescent="0.3">
      <c r="B18" s="3" t="s">
        <v>2</v>
      </c>
      <c r="C18" s="2">
        <v>115</v>
      </c>
      <c r="D18" s="5">
        <v>44757</v>
      </c>
      <c r="E18" s="5">
        <f>D18+3</f>
        <v>44760</v>
      </c>
      <c r="F18" s="5">
        <f t="shared" si="10"/>
        <v>44762</v>
      </c>
      <c r="G18" s="2">
        <v>10015</v>
      </c>
      <c r="H18" s="2">
        <v>501</v>
      </c>
      <c r="I18" s="3" t="s">
        <v>13</v>
      </c>
      <c r="J18" s="24">
        <v>6400</v>
      </c>
      <c r="K18" s="7">
        <v>100</v>
      </c>
      <c r="L18" s="24">
        <f t="shared" si="0"/>
        <v>640000</v>
      </c>
      <c r="M18" s="24">
        <v>5950</v>
      </c>
      <c r="N18" s="23">
        <f t="shared" si="8"/>
        <v>595000</v>
      </c>
      <c r="O18" s="3" t="s">
        <v>35</v>
      </c>
      <c r="P18" s="3" t="s">
        <v>34</v>
      </c>
      <c r="Q18" s="24">
        <f t="shared" si="1"/>
        <v>45000</v>
      </c>
      <c r="R18" s="7">
        <f>K18</f>
        <v>100</v>
      </c>
      <c r="S18" s="24">
        <f t="shared" si="3"/>
        <v>5950</v>
      </c>
      <c r="T18" s="24">
        <f t="shared" si="4"/>
        <v>595000</v>
      </c>
      <c r="U18" s="7">
        <f t="shared" si="5"/>
        <v>0</v>
      </c>
      <c r="V18" s="24">
        <f t="shared" si="6"/>
        <v>0</v>
      </c>
      <c r="W18" s="10">
        <v>0</v>
      </c>
      <c r="X18" s="11">
        <f t="shared" si="7"/>
        <v>44762</v>
      </c>
    </row>
    <row r="19" spans="2:24" x14ac:dyDescent="0.3">
      <c r="B19" s="3" t="s">
        <v>2</v>
      </c>
      <c r="C19" s="3">
        <v>116</v>
      </c>
      <c r="D19" s="5">
        <v>44774</v>
      </c>
      <c r="E19" s="5">
        <f>D19+4</f>
        <v>44778</v>
      </c>
      <c r="F19" s="5">
        <f t="shared" ref="F19:F21" si="13">E19+3</f>
        <v>44781</v>
      </c>
      <c r="G19" s="2">
        <v>10016</v>
      </c>
      <c r="H19" s="3">
        <v>503</v>
      </c>
      <c r="I19" s="3" t="s">
        <v>26</v>
      </c>
      <c r="J19" s="24">
        <v>5500</v>
      </c>
      <c r="K19" s="7">
        <v>10</v>
      </c>
      <c r="L19" s="24">
        <f t="shared" si="0"/>
        <v>55000</v>
      </c>
      <c r="M19" s="24">
        <v>4800</v>
      </c>
      <c r="N19" s="23">
        <f t="shared" si="8"/>
        <v>48000</v>
      </c>
      <c r="O19" s="3" t="s">
        <v>41</v>
      </c>
      <c r="P19" s="3" t="s">
        <v>38</v>
      </c>
      <c r="Q19" s="24">
        <f t="shared" si="1"/>
        <v>7000</v>
      </c>
      <c r="R19" s="7">
        <f t="shared" ref="R19:R25" si="14">K19</f>
        <v>10</v>
      </c>
      <c r="S19" s="24">
        <f t="shared" si="3"/>
        <v>4800</v>
      </c>
      <c r="T19" s="24">
        <f t="shared" si="4"/>
        <v>48000</v>
      </c>
      <c r="U19" s="7">
        <f t="shared" si="5"/>
        <v>0</v>
      </c>
      <c r="V19" s="24">
        <f t="shared" si="6"/>
        <v>0</v>
      </c>
      <c r="W19" s="10">
        <v>0</v>
      </c>
      <c r="X19" s="11">
        <f t="shared" si="7"/>
        <v>44781</v>
      </c>
    </row>
    <row r="20" spans="2:24" x14ac:dyDescent="0.3">
      <c r="B20" s="2" t="s">
        <v>1</v>
      </c>
      <c r="C20" s="2">
        <v>117</v>
      </c>
      <c r="D20" s="5">
        <v>44776</v>
      </c>
      <c r="E20" s="4">
        <f t="shared" ref="E20:F23" si="15">D20+2</f>
        <v>44778</v>
      </c>
      <c r="F20" s="5">
        <f t="shared" si="13"/>
        <v>44781</v>
      </c>
      <c r="G20" s="3">
        <v>10017</v>
      </c>
      <c r="H20" s="3">
        <v>504</v>
      </c>
      <c r="I20" s="3" t="s">
        <v>20</v>
      </c>
      <c r="J20" s="24">
        <v>355.9375</v>
      </c>
      <c r="K20" s="7">
        <v>800</v>
      </c>
      <c r="L20" s="24">
        <f t="shared" si="0"/>
        <v>284750</v>
      </c>
      <c r="M20" s="24">
        <v>340</v>
      </c>
      <c r="N20" s="23">
        <f t="shared" si="8"/>
        <v>272000</v>
      </c>
      <c r="O20" s="3" t="s">
        <v>33</v>
      </c>
      <c r="P20" s="3" t="s">
        <v>39</v>
      </c>
      <c r="Q20" s="24">
        <f t="shared" si="1"/>
        <v>12750</v>
      </c>
      <c r="R20" s="7">
        <f t="shared" si="14"/>
        <v>800</v>
      </c>
      <c r="S20" s="24">
        <f t="shared" si="3"/>
        <v>340</v>
      </c>
      <c r="T20" s="24">
        <f t="shared" si="4"/>
        <v>272000</v>
      </c>
      <c r="U20" s="7">
        <f t="shared" si="5"/>
        <v>0</v>
      </c>
      <c r="V20" s="24">
        <f t="shared" si="6"/>
        <v>0</v>
      </c>
      <c r="W20" s="10">
        <v>0</v>
      </c>
      <c r="X20" s="11">
        <f t="shared" si="7"/>
        <v>44781</v>
      </c>
    </row>
    <row r="21" spans="2:24" x14ac:dyDescent="0.3">
      <c r="B21" s="3" t="s">
        <v>1</v>
      </c>
      <c r="C21" s="3">
        <v>118</v>
      </c>
      <c r="D21" s="5">
        <v>44780</v>
      </c>
      <c r="E21" s="4">
        <f t="shared" si="15"/>
        <v>44782</v>
      </c>
      <c r="F21" s="5">
        <f t="shared" si="13"/>
        <v>44785</v>
      </c>
      <c r="G21" s="2">
        <v>10018</v>
      </c>
      <c r="H21" s="2">
        <v>501</v>
      </c>
      <c r="I21" s="3" t="s">
        <v>12</v>
      </c>
      <c r="J21" s="24">
        <v>675</v>
      </c>
      <c r="K21" s="7">
        <v>100</v>
      </c>
      <c r="L21" s="24">
        <f t="shared" si="0"/>
        <v>67500</v>
      </c>
      <c r="M21" s="24">
        <v>600</v>
      </c>
      <c r="N21" s="23">
        <f t="shared" si="8"/>
        <v>60000</v>
      </c>
      <c r="O21" s="3" t="s">
        <v>41</v>
      </c>
      <c r="P21" s="3" t="s">
        <v>34</v>
      </c>
      <c r="Q21" s="24">
        <f t="shared" si="1"/>
        <v>7500</v>
      </c>
      <c r="R21" s="7">
        <f t="shared" si="14"/>
        <v>100</v>
      </c>
      <c r="S21" s="24">
        <f t="shared" si="3"/>
        <v>600</v>
      </c>
      <c r="T21" s="24">
        <f t="shared" si="4"/>
        <v>60000</v>
      </c>
      <c r="U21" s="7">
        <f t="shared" si="5"/>
        <v>0</v>
      </c>
      <c r="V21" s="24">
        <f t="shared" si="6"/>
        <v>0</v>
      </c>
      <c r="W21" s="10">
        <v>0</v>
      </c>
      <c r="X21" s="11">
        <f t="shared" si="7"/>
        <v>44785</v>
      </c>
    </row>
    <row r="22" spans="2:24" x14ac:dyDescent="0.3">
      <c r="B22" s="3" t="s">
        <v>2</v>
      </c>
      <c r="C22" s="2">
        <v>119</v>
      </c>
      <c r="D22" s="5">
        <v>44788</v>
      </c>
      <c r="E22" s="4">
        <f t="shared" si="15"/>
        <v>44790</v>
      </c>
      <c r="F22" s="5">
        <f t="shared" si="15"/>
        <v>44792</v>
      </c>
      <c r="G22" s="2">
        <v>10019</v>
      </c>
      <c r="H22" s="2">
        <v>501</v>
      </c>
      <c r="I22" s="3" t="s">
        <v>13</v>
      </c>
      <c r="J22" s="24">
        <v>8000</v>
      </c>
      <c r="K22" s="7">
        <v>25</v>
      </c>
      <c r="L22" s="24">
        <f t="shared" si="0"/>
        <v>200000</v>
      </c>
      <c r="M22" s="24">
        <v>7200</v>
      </c>
      <c r="N22" s="23">
        <f t="shared" si="8"/>
        <v>180000</v>
      </c>
      <c r="O22" s="3" t="s">
        <v>35</v>
      </c>
      <c r="P22" s="3" t="s">
        <v>34</v>
      </c>
      <c r="Q22" s="24">
        <f t="shared" si="1"/>
        <v>20000</v>
      </c>
      <c r="R22" s="7">
        <f t="shared" si="14"/>
        <v>25</v>
      </c>
      <c r="S22" s="24">
        <f t="shared" si="3"/>
        <v>7200</v>
      </c>
      <c r="T22" s="24">
        <f t="shared" si="4"/>
        <v>180000</v>
      </c>
      <c r="U22" s="7">
        <f t="shared" si="5"/>
        <v>0</v>
      </c>
      <c r="V22" s="24">
        <f t="shared" si="6"/>
        <v>0</v>
      </c>
      <c r="W22" s="10">
        <v>0</v>
      </c>
      <c r="X22" s="11">
        <f t="shared" si="7"/>
        <v>44792</v>
      </c>
    </row>
    <row r="23" spans="2:24" x14ac:dyDescent="0.3">
      <c r="B23" s="3" t="s">
        <v>3</v>
      </c>
      <c r="C23" s="3">
        <v>120</v>
      </c>
      <c r="D23" s="5">
        <v>44795</v>
      </c>
      <c r="E23" s="4">
        <f t="shared" si="15"/>
        <v>44797</v>
      </c>
      <c r="F23" s="5">
        <f t="shared" si="15"/>
        <v>44799</v>
      </c>
      <c r="G23" s="3">
        <v>10020</v>
      </c>
      <c r="H23" s="3">
        <v>504</v>
      </c>
      <c r="I23" s="3" t="s">
        <v>20</v>
      </c>
      <c r="J23" s="24">
        <v>360</v>
      </c>
      <c r="K23" s="7">
        <v>800</v>
      </c>
      <c r="L23" s="24">
        <f t="shared" si="0"/>
        <v>288000</v>
      </c>
      <c r="M23" s="24">
        <v>340</v>
      </c>
      <c r="N23" s="23">
        <f t="shared" si="8"/>
        <v>272000</v>
      </c>
      <c r="O23" s="3" t="s">
        <v>36</v>
      </c>
      <c r="P23" s="3" t="s">
        <v>39</v>
      </c>
      <c r="Q23" s="24">
        <f t="shared" si="1"/>
        <v>16000</v>
      </c>
      <c r="R23" s="7">
        <f t="shared" si="14"/>
        <v>800</v>
      </c>
      <c r="S23" s="24">
        <f t="shared" si="3"/>
        <v>340</v>
      </c>
      <c r="T23" s="24">
        <f t="shared" si="4"/>
        <v>272000</v>
      </c>
      <c r="U23" s="7">
        <f t="shared" si="5"/>
        <v>0</v>
      </c>
      <c r="V23" s="24">
        <f t="shared" si="6"/>
        <v>0</v>
      </c>
      <c r="W23" s="10">
        <v>0</v>
      </c>
      <c r="X23" s="11">
        <f t="shared" si="7"/>
        <v>44799</v>
      </c>
    </row>
    <row r="24" spans="2:24" x14ac:dyDescent="0.3">
      <c r="B24" s="3" t="s">
        <v>2</v>
      </c>
      <c r="C24" s="2">
        <v>121</v>
      </c>
      <c r="D24" s="5">
        <v>44798</v>
      </c>
      <c r="E24" s="5">
        <f>D24+4</f>
        <v>44802</v>
      </c>
      <c r="F24" s="4">
        <f>E24+1</f>
        <v>44803</v>
      </c>
      <c r="G24" s="2">
        <v>10021</v>
      </c>
      <c r="H24" s="3">
        <v>504</v>
      </c>
      <c r="I24" s="3" t="s">
        <v>21</v>
      </c>
      <c r="J24" s="24">
        <v>40200</v>
      </c>
      <c r="K24" s="7">
        <v>5</v>
      </c>
      <c r="L24" s="24">
        <f t="shared" si="0"/>
        <v>201000</v>
      </c>
      <c r="M24" s="24">
        <v>36800</v>
      </c>
      <c r="N24" s="23">
        <f t="shared" si="8"/>
        <v>184000</v>
      </c>
      <c r="O24" s="3" t="s">
        <v>41</v>
      </c>
      <c r="P24" s="3" t="s">
        <v>39</v>
      </c>
      <c r="Q24" s="24">
        <f t="shared" si="1"/>
        <v>17000</v>
      </c>
      <c r="R24" s="7">
        <f t="shared" si="14"/>
        <v>5</v>
      </c>
      <c r="S24" s="24">
        <f t="shared" si="3"/>
        <v>36800</v>
      </c>
      <c r="T24" s="24">
        <f t="shared" si="4"/>
        <v>184000</v>
      </c>
      <c r="U24" s="7">
        <f t="shared" si="5"/>
        <v>0</v>
      </c>
      <c r="V24" s="24">
        <f t="shared" si="6"/>
        <v>0</v>
      </c>
      <c r="W24" s="10">
        <v>0</v>
      </c>
      <c r="X24" s="11">
        <f t="shared" si="7"/>
        <v>44803</v>
      </c>
    </row>
    <row r="25" spans="2:24" x14ac:dyDescent="0.3">
      <c r="B25" s="3" t="s">
        <v>2</v>
      </c>
      <c r="C25" s="3">
        <v>122</v>
      </c>
      <c r="D25" s="5">
        <v>44811</v>
      </c>
      <c r="E25" s="5">
        <f>D25+3</f>
        <v>44814</v>
      </c>
      <c r="F25" s="5">
        <f t="shared" ref="F25:F26" si="16">E25+3</f>
        <v>44817</v>
      </c>
      <c r="G25" s="2">
        <v>10022</v>
      </c>
      <c r="H25" s="3">
        <v>503</v>
      </c>
      <c r="I25" s="3" t="s">
        <v>17</v>
      </c>
      <c r="J25" s="24">
        <v>1050</v>
      </c>
      <c r="K25" s="7">
        <v>20</v>
      </c>
      <c r="L25" s="24">
        <f t="shared" si="0"/>
        <v>21000</v>
      </c>
      <c r="M25" s="24">
        <v>1030</v>
      </c>
      <c r="N25" s="23">
        <f t="shared" si="8"/>
        <v>20600</v>
      </c>
      <c r="O25" s="3" t="s">
        <v>41</v>
      </c>
      <c r="P25" s="3" t="s">
        <v>38</v>
      </c>
      <c r="Q25" s="24">
        <f t="shared" si="1"/>
        <v>400</v>
      </c>
      <c r="R25" s="7">
        <f t="shared" si="14"/>
        <v>20</v>
      </c>
      <c r="S25" s="24">
        <f t="shared" si="3"/>
        <v>1030</v>
      </c>
      <c r="T25" s="24">
        <f t="shared" si="4"/>
        <v>20600</v>
      </c>
      <c r="U25" s="7">
        <f t="shared" si="5"/>
        <v>0</v>
      </c>
      <c r="V25" s="24">
        <f t="shared" si="6"/>
        <v>0</v>
      </c>
      <c r="W25" s="10">
        <v>0</v>
      </c>
      <c r="X25" s="11">
        <f t="shared" si="7"/>
        <v>44817</v>
      </c>
    </row>
    <row r="26" spans="2:24" x14ac:dyDescent="0.3">
      <c r="B26" s="3" t="s">
        <v>3</v>
      </c>
      <c r="C26" s="2">
        <v>123</v>
      </c>
      <c r="D26" s="5">
        <v>44819</v>
      </c>
      <c r="E26" s="4">
        <f>D26+2</f>
        <v>44821</v>
      </c>
      <c r="F26" s="5">
        <f t="shared" si="16"/>
        <v>44824</v>
      </c>
      <c r="G26" s="3">
        <v>10023</v>
      </c>
      <c r="H26" s="3">
        <v>502</v>
      </c>
      <c r="I26" s="3" t="s">
        <v>14</v>
      </c>
      <c r="J26" s="24">
        <v>250</v>
      </c>
      <c r="K26" s="7">
        <v>687</v>
      </c>
      <c r="L26" s="24">
        <f t="shared" si="0"/>
        <v>171750</v>
      </c>
      <c r="M26" s="24">
        <v>240</v>
      </c>
      <c r="N26" s="23">
        <f t="shared" si="8"/>
        <v>164880</v>
      </c>
      <c r="O26" s="3" t="s">
        <v>35</v>
      </c>
      <c r="P26" s="3" t="s">
        <v>37</v>
      </c>
      <c r="Q26" s="24">
        <f t="shared" si="1"/>
        <v>6870</v>
      </c>
      <c r="R26" s="7">
        <v>600</v>
      </c>
      <c r="S26" s="24">
        <f t="shared" si="3"/>
        <v>240</v>
      </c>
      <c r="T26" s="24">
        <f t="shared" si="4"/>
        <v>144000</v>
      </c>
      <c r="U26" s="7">
        <f t="shared" si="5"/>
        <v>87</v>
      </c>
      <c r="V26" s="24">
        <f t="shared" si="6"/>
        <v>20880</v>
      </c>
      <c r="W26" s="10">
        <v>1</v>
      </c>
      <c r="X26" s="11">
        <f t="shared" si="7"/>
        <v>44824</v>
      </c>
    </row>
    <row r="27" spans="2:24" x14ac:dyDescent="0.3">
      <c r="B27" s="3" t="s">
        <v>1</v>
      </c>
      <c r="C27" s="3">
        <v>124</v>
      </c>
      <c r="D27" s="5">
        <v>44826</v>
      </c>
      <c r="E27" s="5">
        <f>D27+4</f>
        <v>44830</v>
      </c>
      <c r="F27" s="4">
        <f>E27+1</f>
        <v>44831</v>
      </c>
      <c r="G27" s="2">
        <v>10024</v>
      </c>
      <c r="H27" s="3">
        <v>502</v>
      </c>
      <c r="I27" s="3" t="s">
        <v>15</v>
      </c>
      <c r="J27" s="24">
        <v>85</v>
      </c>
      <c r="K27" s="7">
        <v>200</v>
      </c>
      <c r="L27" s="24">
        <f t="shared" si="0"/>
        <v>17000</v>
      </c>
      <c r="M27" s="24">
        <v>80</v>
      </c>
      <c r="N27" s="23">
        <f t="shared" si="8"/>
        <v>16000</v>
      </c>
      <c r="O27" s="3" t="s">
        <v>35</v>
      </c>
      <c r="P27" s="3" t="s">
        <v>37</v>
      </c>
      <c r="Q27" s="24">
        <f t="shared" si="1"/>
        <v>1000</v>
      </c>
      <c r="R27" s="7">
        <f>K27</f>
        <v>200</v>
      </c>
      <c r="S27" s="24">
        <f t="shared" si="3"/>
        <v>80</v>
      </c>
      <c r="T27" s="24">
        <f t="shared" si="4"/>
        <v>16000</v>
      </c>
      <c r="U27" s="7">
        <f t="shared" si="5"/>
        <v>0</v>
      </c>
      <c r="V27" s="24">
        <f t="shared" si="6"/>
        <v>0</v>
      </c>
      <c r="W27" s="10">
        <v>0</v>
      </c>
      <c r="X27" s="11">
        <f t="shared" si="7"/>
        <v>44831</v>
      </c>
    </row>
    <row r="28" spans="2:24" x14ac:dyDescent="0.3">
      <c r="B28" s="3" t="s">
        <v>3</v>
      </c>
      <c r="C28" s="2">
        <v>125</v>
      </c>
      <c r="D28" s="5">
        <v>44835</v>
      </c>
      <c r="E28" s="5">
        <f>D28+3</f>
        <v>44838</v>
      </c>
      <c r="F28" s="5">
        <f t="shared" ref="F28" si="17">E28+2</f>
        <v>44840</v>
      </c>
      <c r="G28" s="2">
        <v>10025</v>
      </c>
      <c r="H28" s="3">
        <v>505</v>
      </c>
      <c r="I28" s="3" t="s">
        <v>21</v>
      </c>
      <c r="J28" s="24">
        <v>40200</v>
      </c>
      <c r="K28" s="7">
        <v>5</v>
      </c>
      <c r="L28" s="24">
        <f t="shared" si="0"/>
        <v>201000</v>
      </c>
      <c r="M28" s="24">
        <v>36800</v>
      </c>
      <c r="N28" s="23">
        <f t="shared" si="8"/>
        <v>184000</v>
      </c>
      <c r="O28" s="3" t="s">
        <v>36</v>
      </c>
      <c r="P28" s="3" t="s">
        <v>39</v>
      </c>
      <c r="Q28" s="24">
        <f t="shared" si="1"/>
        <v>17000</v>
      </c>
      <c r="R28" s="7">
        <f t="shared" ref="R28:R33" si="18">K28</f>
        <v>5</v>
      </c>
      <c r="S28" s="24">
        <f t="shared" si="3"/>
        <v>36800</v>
      </c>
      <c r="T28" s="24">
        <f t="shared" si="4"/>
        <v>184000</v>
      </c>
      <c r="U28" s="7">
        <f t="shared" si="5"/>
        <v>0</v>
      </c>
      <c r="V28" s="24">
        <f t="shared" si="6"/>
        <v>0</v>
      </c>
      <c r="W28" s="10">
        <v>0</v>
      </c>
      <c r="X28" s="11">
        <f t="shared" si="7"/>
        <v>44840</v>
      </c>
    </row>
    <row r="29" spans="2:24" x14ac:dyDescent="0.3">
      <c r="B29" s="3" t="s">
        <v>3</v>
      </c>
      <c r="C29" s="3">
        <v>126</v>
      </c>
      <c r="D29" s="5">
        <v>44841</v>
      </c>
      <c r="E29" s="5">
        <f>D29+3</f>
        <v>44844</v>
      </c>
      <c r="F29" s="5">
        <f t="shared" ref="F29:F31" si="19">E29+3</f>
        <v>44847</v>
      </c>
      <c r="G29" s="3">
        <v>10026</v>
      </c>
      <c r="H29" s="3">
        <v>504</v>
      </c>
      <c r="I29" s="3" t="s">
        <v>20</v>
      </c>
      <c r="J29" s="24">
        <v>355.9375</v>
      </c>
      <c r="K29" s="7">
        <v>800</v>
      </c>
      <c r="L29" s="24">
        <f t="shared" si="0"/>
        <v>284750</v>
      </c>
      <c r="M29" s="24">
        <v>340</v>
      </c>
      <c r="N29" s="23">
        <f t="shared" si="8"/>
        <v>272000</v>
      </c>
      <c r="O29" s="3" t="s">
        <v>36</v>
      </c>
      <c r="P29" s="3" t="s">
        <v>39</v>
      </c>
      <c r="Q29" s="24">
        <f t="shared" si="1"/>
        <v>12750</v>
      </c>
      <c r="R29" s="7">
        <f t="shared" si="18"/>
        <v>800</v>
      </c>
      <c r="S29" s="24">
        <f t="shared" si="3"/>
        <v>340</v>
      </c>
      <c r="T29" s="24">
        <f t="shared" si="4"/>
        <v>272000</v>
      </c>
      <c r="U29" s="7">
        <f t="shared" si="5"/>
        <v>0</v>
      </c>
      <c r="V29" s="24">
        <f t="shared" si="6"/>
        <v>0</v>
      </c>
      <c r="W29" s="10">
        <v>0</v>
      </c>
      <c r="X29" s="11">
        <f t="shared" si="7"/>
        <v>44847</v>
      </c>
    </row>
    <row r="30" spans="2:24" x14ac:dyDescent="0.3">
      <c r="B30" s="3" t="s">
        <v>2</v>
      </c>
      <c r="C30" s="2">
        <v>127</v>
      </c>
      <c r="D30" s="5">
        <v>44866</v>
      </c>
      <c r="E30" s="5">
        <f t="shared" ref="E30:E31" si="20">D30+3</f>
        <v>44869</v>
      </c>
      <c r="F30" s="5">
        <f t="shared" si="19"/>
        <v>44872</v>
      </c>
      <c r="G30" s="2">
        <v>10027</v>
      </c>
      <c r="H30" s="3">
        <v>502</v>
      </c>
      <c r="I30" s="3" t="s">
        <v>14</v>
      </c>
      <c r="J30" s="24">
        <v>250</v>
      </c>
      <c r="K30" s="7">
        <v>500</v>
      </c>
      <c r="L30" s="24">
        <f t="shared" si="0"/>
        <v>125000</v>
      </c>
      <c r="M30" s="24">
        <v>240</v>
      </c>
      <c r="N30" s="23">
        <f t="shared" si="8"/>
        <v>120000</v>
      </c>
      <c r="O30" s="3" t="s">
        <v>41</v>
      </c>
      <c r="P30" s="3" t="s">
        <v>37</v>
      </c>
      <c r="Q30" s="24">
        <f t="shared" si="1"/>
        <v>5000</v>
      </c>
      <c r="R30" s="7">
        <f t="shared" si="18"/>
        <v>500</v>
      </c>
      <c r="S30" s="24">
        <f t="shared" si="3"/>
        <v>240</v>
      </c>
      <c r="T30" s="24">
        <f t="shared" si="4"/>
        <v>120000</v>
      </c>
      <c r="U30" s="7">
        <f t="shared" si="5"/>
        <v>0</v>
      </c>
      <c r="V30" s="24">
        <f t="shared" si="6"/>
        <v>0</v>
      </c>
      <c r="W30" s="10">
        <v>0</v>
      </c>
      <c r="X30" s="11">
        <f t="shared" si="7"/>
        <v>44872</v>
      </c>
    </row>
    <row r="31" spans="2:24" x14ac:dyDescent="0.3">
      <c r="B31" s="3" t="s">
        <v>1</v>
      </c>
      <c r="C31" s="3">
        <v>128</v>
      </c>
      <c r="D31" s="5">
        <v>44868</v>
      </c>
      <c r="E31" s="5">
        <f t="shared" si="20"/>
        <v>44871</v>
      </c>
      <c r="F31" s="5">
        <f t="shared" si="19"/>
        <v>44874</v>
      </c>
      <c r="G31" s="2">
        <v>10028</v>
      </c>
      <c r="H31" s="3">
        <v>502</v>
      </c>
      <c r="I31" s="3" t="s">
        <v>15</v>
      </c>
      <c r="J31" s="24">
        <v>85</v>
      </c>
      <c r="K31" s="7">
        <v>500</v>
      </c>
      <c r="L31" s="24">
        <f t="shared" si="0"/>
        <v>42500</v>
      </c>
      <c r="M31" s="24">
        <v>80</v>
      </c>
      <c r="N31" s="23">
        <f t="shared" si="8"/>
        <v>40000</v>
      </c>
      <c r="O31" s="3" t="s">
        <v>41</v>
      </c>
      <c r="P31" s="3" t="s">
        <v>37</v>
      </c>
      <c r="Q31" s="24">
        <f t="shared" si="1"/>
        <v>2500</v>
      </c>
      <c r="R31" s="7">
        <f t="shared" si="18"/>
        <v>500</v>
      </c>
      <c r="S31" s="24">
        <f t="shared" si="3"/>
        <v>80</v>
      </c>
      <c r="T31" s="24">
        <f t="shared" si="4"/>
        <v>40000</v>
      </c>
      <c r="U31" s="7">
        <f t="shared" si="5"/>
        <v>0</v>
      </c>
      <c r="V31" s="24">
        <f t="shared" si="6"/>
        <v>0</v>
      </c>
      <c r="W31" s="10">
        <v>0</v>
      </c>
      <c r="X31" s="11">
        <f t="shared" si="7"/>
        <v>44874</v>
      </c>
    </row>
    <row r="32" spans="2:24" x14ac:dyDescent="0.3">
      <c r="B32" s="3" t="s">
        <v>1</v>
      </c>
      <c r="C32" s="2">
        <v>129</v>
      </c>
      <c r="D32" s="5">
        <v>44870</v>
      </c>
      <c r="E32" s="5">
        <f>D32+4</f>
        <v>44874</v>
      </c>
      <c r="F32" s="5">
        <f t="shared" ref="F32:F33" si="21">E32+2</f>
        <v>44876</v>
      </c>
      <c r="G32" s="3">
        <v>10029</v>
      </c>
      <c r="H32" s="3">
        <v>504</v>
      </c>
      <c r="I32" s="3" t="s">
        <v>19</v>
      </c>
      <c r="J32" s="24">
        <v>12000</v>
      </c>
      <c r="K32" s="7">
        <v>23</v>
      </c>
      <c r="L32" s="24">
        <f t="shared" si="0"/>
        <v>276000</v>
      </c>
      <c r="M32" s="24">
        <v>11500</v>
      </c>
      <c r="N32" s="23">
        <f t="shared" si="8"/>
        <v>264500</v>
      </c>
      <c r="O32" s="3" t="s">
        <v>41</v>
      </c>
      <c r="P32" s="3" t="s">
        <v>39</v>
      </c>
      <c r="Q32" s="24">
        <f t="shared" si="1"/>
        <v>11500</v>
      </c>
      <c r="R32" s="7">
        <f t="shared" si="18"/>
        <v>23</v>
      </c>
      <c r="S32" s="24">
        <f t="shared" si="3"/>
        <v>11500</v>
      </c>
      <c r="T32" s="24">
        <f t="shared" si="4"/>
        <v>264500</v>
      </c>
      <c r="U32" s="7">
        <f t="shared" si="5"/>
        <v>0</v>
      </c>
      <c r="V32" s="24">
        <f t="shared" si="6"/>
        <v>0</v>
      </c>
      <c r="W32" s="10">
        <v>0</v>
      </c>
      <c r="X32" s="11">
        <f t="shared" si="7"/>
        <v>44876</v>
      </c>
    </row>
    <row r="33" spans="2:24" x14ac:dyDescent="0.3">
      <c r="B33" s="3" t="s">
        <v>3</v>
      </c>
      <c r="C33" s="3">
        <v>130</v>
      </c>
      <c r="D33" s="5">
        <v>44872</v>
      </c>
      <c r="E33" s="4">
        <f t="shared" ref="E33:E35" si="22">D33+2</f>
        <v>44874</v>
      </c>
      <c r="F33" s="5">
        <f t="shared" si="21"/>
        <v>44876</v>
      </c>
      <c r="G33" s="2">
        <v>10030</v>
      </c>
      <c r="H33" s="3">
        <v>503</v>
      </c>
      <c r="I33" s="3" t="s">
        <v>16</v>
      </c>
      <c r="J33" s="24">
        <v>250</v>
      </c>
      <c r="K33" s="7">
        <v>58</v>
      </c>
      <c r="L33" s="24">
        <f t="shared" si="0"/>
        <v>14500</v>
      </c>
      <c r="M33" s="24">
        <v>220</v>
      </c>
      <c r="N33" s="23">
        <f t="shared" si="8"/>
        <v>12760</v>
      </c>
      <c r="O33" s="3" t="s">
        <v>35</v>
      </c>
      <c r="P33" s="3" t="s">
        <v>38</v>
      </c>
      <c r="Q33" s="24">
        <f t="shared" si="1"/>
        <v>1740</v>
      </c>
      <c r="R33" s="7">
        <f t="shared" si="18"/>
        <v>58</v>
      </c>
      <c r="S33" s="24">
        <f t="shared" si="3"/>
        <v>220</v>
      </c>
      <c r="T33" s="24">
        <f t="shared" si="4"/>
        <v>12760</v>
      </c>
      <c r="U33" s="7">
        <f t="shared" si="5"/>
        <v>0</v>
      </c>
      <c r="V33" s="24">
        <f t="shared" si="6"/>
        <v>0</v>
      </c>
      <c r="W33" s="10">
        <v>0</v>
      </c>
      <c r="X33" s="11">
        <f t="shared" si="7"/>
        <v>44876</v>
      </c>
    </row>
    <row r="34" spans="2:24" x14ac:dyDescent="0.3">
      <c r="B34" s="3" t="s">
        <v>2</v>
      </c>
      <c r="C34" s="2">
        <v>131</v>
      </c>
      <c r="D34" s="5">
        <v>44880</v>
      </c>
      <c r="E34" s="4">
        <f t="shared" si="22"/>
        <v>44882</v>
      </c>
      <c r="F34" s="5">
        <f>E34+2</f>
        <v>44884</v>
      </c>
      <c r="G34" s="2">
        <v>10031</v>
      </c>
      <c r="H34" s="3">
        <v>505</v>
      </c>
      <c r="I34" s="3" t="s">
        <v>20</v>
      </c>
      <c r="J34" s="24">
        <v>355.9375</v>
      </c>
      <c r="K34" s="7">
        <v>800</v>
      </c>
      <c r="L34" s="24">
        <f t="shared" si="0"/>
        <v>284750</v>
      </c>
      <c r="M34" s="24">
        <v>340</v>
      </c>
      <c r="N34" s="23">
        <f t="shared" si="8"/>
        <v>272000</v>
      </c>
      <c r="O34" s="3" t="s">
        <v>35</v>
      </c>
      <c r="P34" s="3" t="s">
        <v>39</v>
      </c>
      <c r="Q34" s="24">
        <f t="shared" si="1"/>
        <v>12750</v>
      </c>
      <c r="R34" s="7">
        <v>750</v>
      </c>
      <c r="S34" s="24">
        <f t="shared" si="3"/>
        <v>340</v>
      </c>
      <c r="T34" s="24">
        <f t="shared" si="4"/>
        <v>255000</v>
      </c>
      <c r="U34" s="7">
        <f t="shared" si="5"/>
        <v>50</v>
      </c>
      <c r="V34" s="24">
        <f t="shared" si="6"/>
        <v>17000</v>
      </c>
      <c r="W34" s="10">
        <v>1</v>
      </c>
      <c r="X34" s="11">
        <f t="shared" si="7"/>
        <v>44884</v>
      </c>
    </row>
    <row r="35" spans="2:24" x14ac:dyDescent="0.3">
      <c r="B35" s="3" t="s">
        <v>2</v>
      </c>
      <c r="C35" s="3">
        <v>132</v>
      </c>
      <c r="D35" s="5">
        <v>44887</v>
      </c>
      <c r="E35" s="4">
        <f t="shared" si="22"/>
        <v>44889</v>
      </c>
      <c r="F35" s="5">
        <f>E35+2</f>
        <v>44891</v>
      </c>
      <c r="G35" s="3">
        <v>10032</v>
      </c>
      <c r="H35" s="3">
        <v>503</v>
      </c>
      <c r="I35" s="3" t="s">
        <v>26</v>
      </c>
      <c r="J35" s="24">
        <v>5800</v>
      </c>
      <c r="K35" s="7">
        <v>10</v>
      </c>
      <c r="L35" s="24">
        <f t="shared" si="0"/>
        <v>58000</v>
      </c>
      <c r="M35" s="24">
        <v>5200</v>
      </c>
      <c r="N35" s="23">
        <f t="shared" si="8"/>
        <v>52000</v>
      </c>
      <c r="O35" s="3" t="s">
        <v>35</v>
      </c>
      <c r="P35" s="3" t="s">
        <v>38</v>
      </c>
      <c r="Q35" s="24">
        <f t="shared" si="1"/>
        <v>6000</v>
      </c>
      <c r="R35" s="7">
        <f>K35</f>
        <v>10</v>
      </c>
      <c r="S35" s="24">
        <f t="shared" si="3"/>
        <v>5200</v>
      </c>
      <c r="T35" s="24">
        <f t="shared" si="4"/>
        <v>52000</v>
      </c>
      <c r="U35" s="7">
        <f t="shared" si="5"/>
        <v>0</v>
      </c>
      <c r="V35" s="24">
        <f t="shared" si="6"/>
        <v>0</v>
      </c>
      <c r="W35" s="10">
        <v>0</v>
      </c>
      <c r="X35" s="11">
        <f t="shared" si="7"/>
        <v>44891</v>
      </c>
    </row>
    <row r="36" spans="2:24" x14ac:dyDescent="0.3">
      <c r="B36" s="2" t="s">
        <v>1</v>
      </c>
      <c r="C36" s="2">
        <v>133</v>
      </c>
      <c r="D36" s="5">
        <v>44896</v>
      </c>
      <c r="E36" s="5">
        <f t="shared" ref="E36:E40" si="23">D36+4</f>
        <v>44900</v>
      </c>
      <c r="F36" s="5">
        <f t="shared" ref="F36:F39" si="24">E36+2</f>
        <v>44902</v>
      </c>
      <c r="G36" s="2">
        <v>10033</v>
      </c>
      <c r="H36" s="3">
        <v>502</v>
      </c>
      <c r="I36" s="3" t="s">
        <v>25</v>
      </c>
      <c r="J36" s="24">
        <v>28</v>
      </c>
      <c r="K36" s="7">
        <v>504</v>
      </c>
      <c r="L36" s="24">
        <f t="shared" si="0"/>
        <v>14112</v>
      </c>
      <c r="M36" s="24">
        <v>26</v>
      </c>
      <c r="N36" s="23">
        <f t="shared" si="8"/>
        <v>13104</v>
      </c>
      <c r="O36" s="3" t="s">
        <v>36</v>
      </c>
      <c r="P36" s="3" t="s">
        <v>37</v>
      </c>
      <c r="Q36" s="24">
        <f t="shared" si="1"/>
        <v>1008</v>
      </c>
      <c r="R36" s="7">
        <f t="shared" ref="R36:R38" si="25">K36</f>
        <v>504</v>
      </c>
      <c r="S36" s="24">
        <f t="shared" si="3"/>
        <v>26</v>
      </c>
      <c r="T36" s="24">
        <f t="shared" si="4"/>
        <v>13104</v>
      </c>
      <c r="U36" s="7">
        <f t="shared" si="5"/>
        <v>0</v>
      </c>
      <c r="V36" s="24">
        <f t="shared" si="6"/>
        <v>0</v>
      </c>
      <c r="W36" s="10">
        <v>0</v>
      </c>
      <c r="X36" s="11">
        <f t="shared" si="7"/>
        <v>44902</v>
      </c>
    </row>
    <row r="37" spans="2:24" x14ac:dyDescent="0.3">
      <c r="B37" s="3" t="s">
        <v>1</v>
      </c>
      <c r="C37" s="3">
        <v>134</v>
      </c>
      <c r="D37" s="5">
        <v>44902</v>
      </c>
      <c r="E37" s="5">
        <f t="shared" si="23"/>
        <v>44906</v>
      </c>
      <c r="F37" s="5">
        <f t="shared" si="24"/>
        <v>44908</v>
      </c>
      <c r="G37" s="2">
        <v>10034</v>
      </c>
      <c r="H37" s="3">
        <v>503</v>
      </c>
      <c r="I37" s="3" t="s">
        <v>17</v>
      </c>
      <c r="J37" s="24">
        <v>1050</v>
      </c>
      <c r="K37" s="7">
        <v>40</v>
      </c>
      <c r="L37" s="24">
        <f t="shared" si="0"/>
        <v>42000</v>
      </c>
      <c r="M37" s="24">
        <v>1000</v>
      </c>
      <c r="N37" s="23">
        <f t="shared" si="8"/>
        <v>40000</v>
      </c>
      <c r="O37" s="3" t="s">
        <v>36</v>
      </c>
      <c r="P37" s="3" t="s">
        <v>38</v>
      </c>
      <c r="Q37" s="24">
        <f t="shared" si="1"/>
        <v>2000</v>
      </c>
      <c r="R37" s="7">
        <f t="shared" si="25"/>
        <v>40</v>
      </c>
      <c r="S37" s="24">
        <f t="shared" si="3"/>
        <v>1000</v>
      </c>
      <c r="T37" s="24">
        <f t="shared" si="4"/>
        <v>40000</v>
      </c>
      <c r="U37" s="7">
        <f t="shared" si="5"/>
        <v>0</v>
      </c>
      <c r="V37" s="24">
        <f t="shared" si="6"/>
        <v>0</v>
      </c>
      <c r="W37" s="10">
        <v>0</v>
      </c>
      <c r="X37" s="11">
        <f t="shared" si="7"/>
        <v>44908</v>
      </c>
    </row>
    <row r="38" spans="2:24" x14ac:dyDescent="0.3">
      <c r="B38" s="3" t="s">
        <v>2</v>
      </c>
      <c r="C38" s="2">
        <v>135</v>
      </c>
      <c r="D38" s="5">
        <v>44910</v>
      </c>
      <c r="E38" s="5">
        <f t="shared" si="23"/>
        <v>44914</v>
      </c>
      <c r="F38" s="5">
        <f t="shared" si="24"/>
        <v>44916</v>
      </c>
      <c r="G38" s="3">
        <v>10035</v>
      </c>
      <c r="H38" s="3">
        <v>503</v>
      </c>
      <c r="I38" s="3" t="s">
        <v>18</v>
      </c>
      <c r="J38" s="24">
        <v>1100</v>
      </c>
      <c r="K38" s="7">
        <v>25</v>
      </c>
      <c r="L38" s="24">
        <f t="shared" si="0"/>
        <v>27500</v>
      </c>
      <c r="M38" s="24">
        <v>1000</v>
      </c>
      <c r="N38" s="23">
        <f t="shared" si="8"/>
        <v>25000</v>
      </c>
      <c r="O38" s="3" t="s">
        <v>35</v>
      </c>
      <c r="P38" s="3" t="s">
        <v>38</v>
      </c>
      <c r="Q38" s="24">
        <f t="shared" si="1"/>
        <v>2500</v>
      </c>
      <c r="R38" s="7">
        <f t="shared" si="25"/>
        <v>25</v>
      </c>
      <c r="S38" s="24">
        <f t="shared" si="3"/>
        <v>1000</v>
      </c>
      <c r="T38" s="24">
        <f t="shared" si="4"/>
        <v>25000</v>
      </c>
      <c r="U38" s="7">
        <f t="shared" si="5"/>
        <v>0</v>
      </c>
      <c r="V38" s="24">
        <f t="shared" si="6"/>
        <v>0</v>
      </c>
      <c r="W38" s="10">
        <v>0</v>
      </c>
      <c r="X38" s="11">
        <f t="shared" si="7"/>
        <v>44916</v>
      </c>
    </row>
    <row r="39" spans="2:24" x14ac:dyDescent="0.3">
      <c r="B39" s="3" t="s">
        <v>3</v>
      </c>
      <c r="C39" s="3">
        <v>136</v>
      </c>
      <c r="D39" s="5">
        <v>44927</v>
      </c>
      <c r="E39" s="5">
        <f t="shared" si="23"/>
        <v>44931</v>
      </c>
      <c r="F39" s="5">
        <f t="shared" si="24"/>
        <v>44933</v>
      </c>
      <c r="G39" s="2">
        <v>10036</v>
      </c>
      <c r="H39" s="3">
        <v>503</v>
      </c>
      <c r="I39" s="3" t="s">
        <v>16</v>
      </c>
      <c r="J39" s="24">
        <v>250</v>
      </c>
      <c r="K39" s="7">
        <v>70</v>
      </c>
      <c r="L39" s="24">
        <f t="shared" si="0"/>
        <v>17500</v>
      </c>
      <c r="M39" s="24">
        <v>220</v>
      </c>
      <c r="N39" s="23">
        <f t="shared" si="8"/>
        <v>15400</v>
      </c>
      <c r="O39" s="3" t="s">
        <v>35</v>
      </c>
      <c r="P39" s="3" t="s">
        <v>38</v>
      </c>
      <c r="Q39" s="24">
        <f t="shared" si="1"/>
        <v>2100</v>
      </c>
      <c r="R39" s="7">
        <v>60</v>
      </c>
      <c r="S39" s="24">
        <f t="shared" si="3"/>
        <v>220</v>
      </c>
      <c r="T39" s="24">
        <f t="shared" si="4"/>
        <v>13200</v>
      </c>
      <c r="U39" s="7">
        <f t="shared" si="5"/>
        <v>10</v>
      </c>
      <c r="V39" s="24">
        <f t="shared" si="6"/>
        <v>2200</v>
      </c>
      <c r="W39" s="10">
        <v>1</v>
      </c>
      <c r="X39" s="11">
        <f t="shared" si="7"/>
        <v>44933</v>
      </c>
    </row>
    <row r="40" spans="2:24" x14ac:dyDescent="0.3">
      <c r="B40" s="3" t="s">
        <v>2</v>
      </c>
      <c r="C40" s="2">
        <v>137</v>
      </c>
      <c r="D40" s="5">
        <v>44929</v>
      </c>
      <c r="E40" s="5">
        <f t="shared" si="23"/>
        <v>44933</v>
      </c>
      <c r="F40" s="5">
        <f t="shared" ref="F40:F41" si="26">E40+3</f>
        <v>44936</v>
      </c>
      <c r="G40" s="2">
        <v>10037</v>
      </c>
      <c r="H40" s="3">
        <v>504</v>
      </c>
      <c r="I40" s="3" t="s">
        <v>21</v>
      </c>
      <c r="J40" s="24">
        <v>39000</v>
      </c>
      <c r="K40" s="7">
        <v>10</v>
      </c>
      <c r="L40" s="24">
        <f t="shared" si="0"/>
        <v>390000</v>
      </c>
      <c r="M40" s="24">
        <v>38800</v>
      </c>
      <c r="N40" s="23">
        <f t="shared" si="8"/>
        <v>388000</v>
      </c>
      <c r="O40" s="3" t="s">
        <v>35</v>
      </c>
      <c r="P40" s="3" t="s">
        <v>39</v>
      </c>
      <c r="Q40" s="24">
        <f t="shared" si="1"/>
        <v>2000</v>
      </c>
      <c r="R40" s="7">
        <f>K40</f>
        <v>10</v>
      </c>
      <c r="S40" s="24">
        <f t="shared" si="3"/>
        <v>38800</v>
      </c>
      <c r="T40" s="24">
        <f t="shared" si="4"/>
        <v>388000</v>
      </c>
      <c r="U40" s="7">
        <f t="shared" si="5"/>
        <v>0</v>
      </c>
      <c r="V40" s="24">
        <f t="shared" si="6"/>
        <v>0</v>
      </c>
      <c r="W40" s="10">
        <v>0</v>
      </c>
      <c r="X40" s="11">
        <f t="shared" si="7"/>
        <v>44936</v>
      </c>
    </row>
    <row r="41" spans="2:24" x14ac:dyDescent="0.3">
      <c r="B41" s="3" t="s">
        <v>2</v>
      </c>
      <c r="C41" s="3">
        <v>138</v>
      </c>
      <c r="D41" s="5">
        <v>44933</v>
      </c>
      <c r="E41" s="5">
        <f t="shared" ref="E41:E42" si="27">D41+3</f>
        <v>44936</v>
      </c>
      <c r="F41" s="5">
        <f t="shared" si="26"/>
        <v>44939</v>
      </c>
      <c r="G41" s="3">
        <v>10038</v>
      </c>
      <c r="H41" s="3">
        <v>503</v>
      </c>
      <c r="I41" s="3" t="s">
        <v>26</v>
      </c>
      <c r="J41" s="24">
        <v>5800</v>
      </c>
      <c r="K41" s="7">
        <v>10</v>
      </c>
      <c r="L41" s="24">
        <f t="shared" si="0"/>
        <v>58000</v>
      </c>
      <c r="M41" s="24">
        <v>5200</v>
      </c>
      <c r="N41" s="23">
        <f t="shared" si="8"/>
        <v>52000</v>
      </c>
      <c r="O41" s="3" t="s">
        <v>41</v>
      </c>
      <c r="P41" s="3" t="s">
        <v>38</v>
      </c>
      <c r="Q41" s="24">
        <f t="shared" si="1"/>
        <v>6000</v>
      </c>
      <c r="R41" s="7">
        <f>K41</f>
        <v>10</v>
      </c>
      <c r="S41" s="24">
        <f t="shared" si="3"/>
        <v>5200</v>
      </c>
      <c r="T41" s="24">
        <f t="shared" si="4"/>
        <v>52000</v>
      </c>
      <c r="U41" s="7">
        <f t="shared" si="5"/>
        <v>0</v>
      </c>
      <c r="V41" s="24">
        <f t="shared" si="6"/>
        <v>0</v>
      </c>
      <c r="W41" s="10">
        <v>0</v>
      </c>
      <c r="X41" s="11">
        <f t="shared" si="7"/>
        <v>44939</v>
      </c>
    </row>
    <row r="42" spans="2:24" x14ac:dyDescent="0.3">
      <c r="B42" s="3" t="s">
        <v>3</v>
      </c>
      <c r="C42" s="2">
        <v>139</v>
      </c>
      <c r="D42" s="5">
        <v>44941</v>
      </c>
      <c r="E42" s="5">
        <f t="shared" si="27"/>
        <v>44944</v>
      </c>
      <c r="F42" s="5">
        <f>E42+2</f>
        <v>44946</v>
      </c>
      <c r="G42" s="2">
        <v>10039</v>
      </c>
      <c r="H42" s="3">
        <v>502</v>
      </c>
      <c r="I42" s="3" t="s">
        <v>25</v>
      </c>
      <c r="J42" s="24">
        <v>28</v>
      </c>
      <c r="K42" s="7">
        <v>1000</v>
      </c>
      <c r="L42" s="24">
        <f t="shared" si="0"/>
        <v>28000</v>
      </c>
      <c r="M42" s="24">
        <v>26</v>
      </c>
      <c r="N42" s="23">
        <f t="shared" si="8"/>
        <v>26000</v>
      </c>
      <c r="O42" s="3" t="s">
        <v>36</v>
      </c>
      <c r="P42" s="3" t="s">
        <v>37</v>
      </c>
      <c r="Q42" s="24">
        <f t="shared" si="1"/>
        <v>2000</v>
      </c>
      <c r="R42" s="7">
        <v>800</v>
      </c>
      <c r="S42" s="24">
        <f t="shared" si="3"/>
        <v>26</v>
      </c>
      <c r="T42" s="24">
        <f t="shared" si="4"/>
        <v>20800</v>
      </c>
      <c r="U42" s="7">
        <f t="shared" si="5"/>
        <v>200</v>
      </c>
      <c r="V42" s="24">
        <f t="shared" si="6"/>
        <v>5200</v>
      </c>
      <c r="W42" s="10">
        <v>1</v>
      </c>
      <c r="X42" s="11">
        <f t="shared" si="7"/>
        <v>44946</v>
      </c>
    </row>
    <row r="43" spans="2:24" x14ac:dyDescent="0.3">
      <c r="B43" s="3" t="s">
        <v>1</v>
      </c>
      <c r="C43" s="3">
        <v>140</v>
      </c>
      <c r="D43" s="5">
        <v>44948</v>
      </c>
      <c r="E43" s="4">
        <f>D43+2</f>
        <v>44950</v>
      </c>
      <c r="F43" s="4">
        <f>E43+1</f>
        <v>44951</v>
      </c>
      <c r="G43" s="2">
        <v>10040</v>
      </c>
      <c r="H43" s="3">
        <v>504</v>
      </c>
      <c r="I43" s="3" t="s">
        <v>19</v>
      </c>
      <c r="J43" s="24">
        <v>14400</v>
      </c>
      <c r="K43" s="7">
        <v>15</v>
      </c>
      <c r="L43" s="24">
        <f t="shared" si="0"/>
        <v>216000</v>
      </c>
      <c r="M43" s="24">
        <v>13200</v>
      </c>
      <c r="N43" s="23">
        <f t="shared" si="8"/>
        <v>198000</v>
      </c>
      <c r="O43" s="3" t="s">
        <v>41</v>
      </c>
      <c r="P43" s="3" t="s">
        <v>39</v>
      </c>
      <c r="Q43" s="24">
        <f t="shared" si="1"/>
        <v>18000</v>
      </c>
      <c r="R43" s="3">
        <v>10</v>
      </c>
      <c r="S43" s="24">
        <f t="shared" si="3"/>
        <v>13200</v>
      </c>
      <c r="T43" s="24">
        <f t="shared" si="4"/>
        <v>132000</v>
      </c>
      <c r="U43" s="7">
        <f t="shared" si="5"/>
        <v>5</v>
      </c>
      <c r="V43" s="24">
        <f t="shared" si="6"/>
        <v>66000</v>
      </c>
      <c r="W43" s="10">
        <v>1</v>
      </c>
      <c r="X43" s="11">
        <f t="shared" si="7"/>
        <v>44951</v>
      </c>
    </row>
    <row r="44" spans="2:24" x14ac:dyDescent="0.3">
      <c r="B44" s="3" t="s">
        <v>2</v>
      </c>
      <c r="C44" s="2">
        <v>141</v>
      </c>
      <c r="D44" s="5">
        <v>44951</v>
      </c>
      <c r="E44" s="5">
        <f t="shared" ref="E44:E45" si="28">D44+4</f>
        <v>44955</v>
      </c>
      <c r="F44" s="4">
        <f>E44+1</f>
        <v>44956</v>
      </c>
      <c r="G44" s="3">
        <v>10041</v>
      </c>
      <c r="H44" s="3">
        <v>503</v>
      </c>
      <c r="I44" s="3" t="s">
        <v>17</v>
      </c>
      <c r="J44" s="24">
        <v>1100</v>
      </c>
      <c r="K44" s="7">
        <v>10</v>
      </c>
      <c r="L44" s="24">
        <f t="shared" si="0"/>
        <v>11000</v>
      </c>
      <c r="M44" s="24">
        <v>1050</v>
      </c>
      <c r="N44" s="23">
        <f t="shared" si="8"/>
        <v>10500</v>
      </c>
      <c r="O44" s="3" t="s">
        <v>41</v>
      </c>
      <c r="P44" s="3" t="s">
        <v>38</v>
      </c>
      <c r="Q44" s="24">
        <f t="shared" si="1"/>
        <v>500</v>
      </c>
      <c r="R44" s="3">
        <v>5</v>
      </c>
      <c r="S44" s="24">
        <f t="shared" si="3"/>
        <v>1050</v>
      </c>
      <c r="T44" s="24">
        <f t="shared" si="4"/>
        <v>5250</v>
      </c>
      <c r="U44" s="7">
        <f t="shared" si="5"/>
        <v>5</v>
      </c>
      <c r="V44" s="24">
        <f t="shared" si="6"/>
        <v>5250</v>
      </c>
      <c r="W44" s="10">
        <v>1</v>
      </c>
      <c r="X44" s="11">
        <f t="shared" si="7"/>
        <v>44956</v>
      </c>
    </row>
    <row r="45" spans="2:24" x14ac:dyDescent="0.3">
      <c r="B45" s="2" t="s">
        <v>1</v>
      </c>
      <c r="C45" s="3">
        <v>142</v>
      </c>
      <c r="D45" s="5">
        <v>44964</v>
      </c>
      <c r="E45" s="5">
        <f t="shared" si="28"/>
        <v>44968</v>
      </c>
      <c r="F45" s="5">
        <f>E45+3</f>
        <v>44971</v>
      </c>
      <c r="G45" s="2">
        <v>10042</v>
      </c>
      <c r="H45" s="3">
        <v>503</v>
      </c>
      <c r="I45" s="3" t="s">
        <v>18</v>
      </c>
      <c r="J45" s="24">
        <v>1200</v>
      </c>
      <c r="K45" s="7">
        <v>15</v>
      </c>
      <c r="L45" s="24">
        <f t="shared" si="0"/>
        <v>18000</v>
      </c>
      <c r="M45" s="24">
        <v>1050</v>
      </c>
      <c r="N45" s="23">
        <f t="shared" si="8"/>
        <v>15750</v>
      </c>
      <c r="O45" s="3" t="s">
        <v>35</v>
      </c>
      <c r="P45" s="3" t="s">
        <v>38</v>
      </c>
      <c r="Q45" s="24">
        <f t="shared" si="1"/>
        <v>2250</v>
      </c>
      <c r="R45" s="3">
        <v>10</v>
      </c>
      <c r="S45" s="24">
        <f t="shared" si="3"/>
        <v>1050</v>
      </c>
      <c r="T45" s="24">
        <f t="shared" si="4"/>
        <v>10500</v>
      </c>
      <c r="U45" s="7">
        <f t="shared" si="5"/>
        <v>5</v>
      </c>
      <c r="V45" s="24">
        <f t="shared" si="6"/>
        <v>5250</v>
      </c>
      <c r="W45" s="10">
        <v>1</v>
      </c>
      <c r="X45" s="11">
        <f t="shared" si="7"/>
        <v>44971</v>
      </c>
    </row>
    <row r="46" spans="2:24" x14ac:dyDescent="0.3">
      <c r="B46" s="3" t="s">
        <v>1</v>
      </c>
      <c r="C46" s="2">
        <v>143</v>
      </c>
      <c r="D46" s="5">
        <v>44986</v>
      </c>
      <c r="E46" s="5">
        <f>D46+3</f>
        <v>44989</v>
      </c>
      <c r="F46" s="5">
        <f t="shared" ref="F46:F50" si="29">E46+2</f>
        <v>44991</v>
      </c>
      <c r="G46" s="2">
        <v>10043</v>
      </c>
      <c r="H46" s="3">
        <v>503</v>
      </c>
      <c r="I46" s="3" t="s">
        <v>16</v>
      </c>
      <c r="J46" s="24">
        <v>250</v>
      </c>
      <c r="K46" s="7">
        <v>80</v>
      </c>
      <c r="L46" s="24">
        <f t="shared" si="0"/>
        <v>20000</v>
      </c>
      <c r="M46" s="24">
        <v>220</v>
      </c>
      <c r="N46" s="23">
        <f t="shared" si="8"/>
        <v>17600</v>
      </c>
      <c r="O46" s="3" t="s">
        <v>36</v>
      </c>
      <c r="P46" s="3" t="s">
        <v>38</v>
      </c>
      <c r="Q46" s="24">
        <f t="shared" si="1"/>
        <v>2400</v>
      </c>
      <c r="R46" s="3">
        <v>40</v>
      </c>
      <c r="S46" s="24">
        <f t="shared" si="3"/>
        <v>220</v>
      </c>
      <c r="T46" s="24">
        <f t="shared" si="4"/>
        <v>8800</v>
      </c>
      <c r="U46" s="7">
        <f t="shared" si="5"/>
        <v>40</v>
      </c>
      <c r="V46" s="24">
        <f t="shared" si="6"/>
        <v>8800</v>
      </c>
      <c r="W46" s="10">
        <v>1</v>
      </c>
      <c r="X46" s="11">
        <f t="shared" si="7"/>
        <v>44991</v>
      </c>
    </row>
    <row r="47" spans="2:24" x14ac:dyDescent="0.3">
      <c r="B47" s="3" t="s">
        <v>2</v>
      </c>
      <c r="C47" s="3">
        <v>144</v>
      </c>
      <c r="D47" s="5">
        <v>44989</v>
      </c>
      <c r="E47" s="4">
        <f t="shared" ref="E47:E48" si="30">D47+2</f>
        <v>44991</v>
      </c>
      <c r="F47" s="5">
        <f>E47+3</f>
        <v>44994</v>
      </c>
      <c r="G47" s="3">
        <v>10044</v>
      </c>
      <c r="H47" s="3">
        <v>503</v>
      </c>
      <c r="I47" s="3" t="s">
        <v>26</v>
      </c>
      <c r="J47" s="24">
        <v>6000</v>
      </c>
      <c r="K47" s="7">
        <v>10</v>
      </c>
      <c r="L47" s="24">
        <f t="shared" si="0"/>
        <v>60000</v>
      </c>
      <c r="M47" s="24">
        <v>5500</v>
      </c>
      <c r="N47" s="23">
        <f t="shared" si="8"/>
        <v>55000</v>
      </c>
      <c r="O47" s="3" t="s">
        <v>36</v>
      </c>
      <c r="P47" s="3" t="s">
        <v>38</v>
      </c>
      <c r="Q47" s="24">
        <f t="shared" si="1"/>
        <v>5000</v>
      </c>
      <c r="R47" s="3">
        <v>10</v>
      </c>
      <c r="S47" s="24">
        <f t="shared" si="3"/>
        <v>5500</v>
      </c>
      <c r="T47" s="24">
        <f t="shared" si="4"/>
        <v>55000</v>
      </c>
      <c r="U47" s="7">
        <f t="shared" si="5"/>
        <v>0</v>
      </c>
      <c r="V47" s="24">
        <f t="shared" si="6"/>
        <v>0</v>
      </c>
      <c r="W47" s="10">
        <v>0</v>
      </c>
      <c r="X47" s="11">
        <f t="shared" si="7"/>
        <v>44994</v>
      </c>
    </row>
    <row r="48" spans="2:24" x14ac:dyDescent="0.3">
      <c r="B48" s="3" t="s">
        <v>3</v>
      </c>
      <c r="C48" s="2">
        <v>145</v>
      </c>
      <c r="D48" s="5">
        <v>44989</v>
      </c>
      <c r="E48" s="4">
        <f t="shared" si="30"/>
        <v>44991</v>
      </c>
      <c r="F48" s="5">
        <f t="shared" si="29"/>
        <v>44993</v>
      </c>
      <c r="G48" s="2">
        <v>10045</v>
      </c>
      <c r="H48" s="3">
        <v>502</v>
      </c>
      <c r="I48" s="3" t="s">
        <v>14</v>
      </c>
      <c r="J48" s="24">
        <v>270</v>
      </c>
      <c r="K48" s="7">
        <v>800</v>
      </c>
      <c r="L48" s="24">
        <f t="shared" si="0"/>
        <v>216000</v>
      </c>
      <c r="M48" s="24">
        <v>260</v>
      </c>
      <c r="N48" s="23">
        <f t="shared" si="8"/>
        <v>208000</v>
      </c>
      <c r="O48" s="3" t="s">
        <v>41</v>
      </c>
      <c r="P48" s="3" t="s">
        <v>37</v>
      </c>
      <c r="Q48" s="24">
        <f t="shared" si="1"/>
        <v>8000</v>
      </c>
      <c r="R48" s="3">
        <v>800</v>
      </c>
      <c r="S48" s="24">
        <f t="shared" si="3"/>
        <v>260</v>
      </c>
      <c r="T48" s="24">
        <f t="shared" si="4"/>
        <v>208000</v>
      </c>
      <c r="U48" s="7">
        <f t="shared" si="5"/>
        <v>0</v>
      </c>
      <c r="V48" s="24">
        <f t="shared" si="6"/>
        <v>0</v>
      </c>
      <c r="W48" s="10">
        <v>0</v>
      </c>
      <c r="X48" s="11">
        <f t="shared" si="7"/>
        <v>44993</v>
      </c>
    </row>
    <row r="49" spans="2:24" x14ac:dyDescent="0.3">
      <c r="B49" s="3" t="s">
        <v>2</v>
      </c>
      <c r="C49" s="3">
        <v>146</v>
      </c>
      <c r="D49" s="5">
        <v>44992</v>
      </c>
      <c r="E49" s="5">
        <f>D49+4</f>
        <v>44996</v>
      </c>
      <c r="F49" s="5">
        <f t="shared" si="29"/>
        <v>44998</v>
      </c>
      <c r="G49" s="2">
        <v>10046</v>
      </c>
      <c r="H49" s="3">
        <v>502</v>
      </c>
      <c r="I49" s="3" t="s">
        <v>15</v>
      </c>
      <c r="J49" s="24">
        <v>90</v>
      </c>
      <c r="K49" s="7">
        <v>200</v>
      </c>
      <c r="L49" s="24">
        <f t="shared" si="0"/>
        <v>18000</v>
      </c>
      <c r="M49" s="24">
        <v>85</v>
      </c>
      <c r="N49" s="23">
        <f t="shared" si="8"/>
        <v>17000</v>
      </c>
      <c r="O49" s="3" t="s">
        <v>41</v>
      </c>
      <c r="P49" s="3" t="s">
        <v>37</v>
      </c>
      <c r="Q49" s="24">
        <f t="shared" si="1"/>
        <v>1000</v>
      </c>
      <c r="R49" s="3">
        <v>200</v>
      </c>
      <c r="S49" s="24">
        <f t="shared" si="3"/>
        <v>85</v>
      </c>
      <c r="T49" s="24">
        <f t="shared" si="4"/>
        <v>17000</v>
      </c>
      <c r="U49" s="7">
        <f t="shared" si="5"/>
        <v>0</v>
      </c>
      <c r="V49" s="24">
        <f t="shared" si="6"/>
        <v>0</v>
      </c>
      <c r="W49" s="10">
        <v>0</v>
      </c>
      <c r="X49" s="11">
        <f t="shared" si="7"/>
        <v>44998</v>
      </c>
    </row>
    <row r="50" spans="2:24" x14ac:dyDescent="0.3">
      <c r="B50" s="3" t="s">
        <v>2</v>
      </c>
      <c r="C50" s="2">
        <v>147</v>
      </c>
      <c r="D50" s="5">
        <v>45000</v>
      </c>
      <c r="E50" s="5">
        <f>D50+3</f>
        <v>45003</v>
      </c>
      <c r="F50" s="5">
        <f t="shared" si="29"/>
        <v>45005</v>
      </c>
      <c r="G50" s="3">
        <v>10047</v>
      </c>
      <c r="H50" s="3">
        <v>505</v>
      </c>
      <c r="I50" s="3" t="s">
        <v>20</v>
      </c>
      <c r="J50" s="24">
        <v>350</v>
      </c>
      <c r="K50" s="7">
        <v>800</v>
      </c>
      <c r="L50" s="24">
        <f t="shared" si="0"/>
        <v>280000</v>
      </c>
      <c r="M50" s="24">
        <v>320</v>
      </c>
      <c r="N50" s="23">
        <f t="shared" si="8"/>
        <v>256000</v>
      </c>
      <c r="O50" s="3" t="s">
        <v>35</v>
      </c>
      <c r="P50" s="3" t="s">
        <v>39</v>
      </c>
      <c r="Q50" s="24">
        <f t="shared" si="1"/>
        <v>24000</v>
      </c>
      <c r="R50" s="3">
        <v>800</v>
      </c>
      <c r="S50" s="24">
        <f t="shared" si="3"/>
        <v>320</v>
      </c>
      <c r="T50" s="24">
        <f t="shared" si="4"/>
        <v>256000</v>
      </c>
      <c r="U50" s="7">
        <f t="shared" si="5"/>
        <v>0</v>
      </c>
      <c r="V50" s="24">
        <f t="shared" si="6"/>
        <v>0</v>
      </c>
      <c r="W50" s="10">
        <v>0</v>
      </c>
      <c r="X50" s="11">
        <f t="shared" si="7"/>
        <v>45005</v>
      </c>
    </row>
    <row r="51" spans="2:24" x14ac:dyDescent="0.3">
      <c r="B51" s="3" t="s">
        <v>3</v>
      </c>
      <c r="C51" s="3">
        <v>148</v>
      </c>
      <c r="D51" s="5">
        <v>45007</v>
      </c>
      <c r="E51" s="4">
        <f>D51+2</f>
        <v>45009</v>
      </c>
      <c r="F51" s="4">
        <f>E51+1</f>
        <v>45010</v>
      </c>
      <c r="G51" s="2">
        <v>10048</v>
      </c>
      <c r="H51" s="3">
        <v>503</v>
      </c>
      <c r="I51" s="3" t="s">
        <v>17</v>
      </c>
      <c r="J51" s="24">
        <v>1100</v>
      </c>
      <c r="K51" s="7">
        <v>20</v>
      </c>
      <c r="L51" s="24">
        <f t="shared" si="0"/>
        <v>22000</v>
      </c>
      <c r="M51" s="24">
        <v>1050</v>
      </c>
      <c r="N51" s="23">
        <f t="shared" si="8"/>
        <v>21000</v>
      </c>
      <c r="O51" s="3" t="s">
        <v>36</v>
      </c>
      <c r="P51" s="3" t="s">
        <v>38</v>
      </c>
      <c r="Q51" s="24">
        <f t="shared" si="1"/>
        <v>1000</v>
      </c>
      <c r="R51" s="3">
        <v>20</v>
      </c>
      <c r="S51" s="24">
        <f t="shared" si="3"/>
        <v>1050</v>
      </c>
      <c r="T51" s="24">
        <f t="shared" si="4"/>
        <v>21000</v>
      </c>
      <c r="U51" s="7">
        <f t="shared" si="5"/>
        <v>0</v>
      </c>
      <c r="V51" s="24">
        <f t="shared" si="6"/>
        <v>0</v>
      </c>
      <c r="W51" s="10">
        <v>0</v>
      </c>
      <c r="X51" s="11">
        <f t="shared" si="7"/>
        <v>45010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23A4-1416-4A1C-AE08-6682EF283846}">
  <sheetPr codeName="Sheet1"/>
  <dimension ref="A1:X98"/>
  <sheetViews>
    <sheetView showFormulas="1" showGridLines="0" showRowColHeaders="0" tabSelected="1" zoomScale="95" zoomScaleNormal="95" workbookViewId="0">
      <selection activeCell="M15" sqref="M15"/>
    </sheetView>
  </sheetViews>
  <sheetFormatPr defaultRowHeight="14.4" x14ac:dyDescent="0.3"/>
  <cols>
    <col min="2" max="16384" width="8.88671875" style="19"/>
  </cols>
  <sheetData>
    <row r="1" spans="1:24" customFormat="1" x14ac:dyDescent="0.3">
      <c r="A1" s="18"/>
      <c r="B1" s="18"/>
      <c r="C1" s="18"/>
      <c r="D1" s="18"/>
      <c r="E1" s="18"/>
      <c r="F1" s="18"/>
      <c r="G1" s="18"/>
      <c r="H1" s="18"/>
      <c r="I1" s="18"/>
      <c r="J1" s="18"/>
      <c r="K1" s="18"/>
      <c r="L1" s="18"/>
      <c r="M1" s="18"/>
      <c r="N1" s="18"/>
      <c r="O1" s="18"/>
      <c r="P1" s="18"/>
      <c r="Q1" s="18"/>
      <c r="R1" s="18"/>
      <c r="S1" s="18"/>
      <c r="T1" s="18"/>
      <c r="U1" s="18"/>
      <c r="V1" s="18"/>
      <c r="W1" s="18"/>
      <c r="X1" s="18"/>
    </row>
    <row r="2" spans="1:24" customFormat="1" x14ac:dyDescent="0.3">
      <c r="A2" s="18"/>
      <c r="B2" s="18"/>
      <c r="C2" s="18"/>
      <c r="D2" s="18"/>
      <c r="E2" s="18"/>
      <c r="F2" s="18"/>
      <c r="G2" s="18"/>
      <c r="H2" s="18"/>
      <c r="I2" s="18"/>
      <c r="J2" s="18"/>
      <c r="K2" s="18"/>
      <c r="L2" s="18"/>
      <c r="M2" s="18"/>
      <c r="N2" s="18"/>
      <c r="O2" s="18"/>
      <c r="P2" s="18"/>
      <c r="Q2" s="18"/>
      <c r="R2" s="18"/>
      <c r="S2" s="18"/>
      <c r="T2" s="18"/>
      <c r="U2" s="18"/>
      <c r="V2" s="18"/>
      <c r="W2" s="18"/>
      <c r="X2" s="18"/>
    </row>
    <row r="3" spans="1:24" customFormat="1" x14ac:dyDescent="0.3">
      <c r="A3" s="18"/>
      <c r="B3" s="18"/>
      <c r="C3" s="18"/>
      <c r="D3" s="18"/>
      <c r="E3" s="18"/>
      <c r="F3" s="18"/>
      <c r="G3" s="18"/>
      <c r="H3" s="18"/>
      <c r="I3" s="18"/>
      <c r="J3" s="18"/>
      <c r="K3" s="18"/>
      <c r="L3" s="18"/>
      <c r="M3" s="18"/>
      <c r="N3" s="18"/>
      <c r="O3" s="18"/>
      <c r="P3" s="18"/>
      <c r="Q3" s="18"/>
      <c r="R3" s="18"/>
      <c r="S3" s="18"/>
      <c r="T3" s="18"/>
      <c r="U3" s="18"/>
      <c r="V3" s="18"/>
      <c r="W3" s="18"/>
      <c r="X3" s="18"/>
    </row>
    <row r="4" spans="1:24" customFormat="1" x14ac:dyDescent="0.3">
      <c r="A4" s="18"/>
      <c r="B4" s="18"/>
      <c r="C4" s="18"/>
      <c r="D4" s="18"/>
      <c r="E4" s="18"/>
      <c r="F4" s="22"/>
      <c r="G4" s="18"/>
      <c r="H4" s="18"/>
      <c r="I4" s="18"/>
      <c r="J4" s="18"/>
      <c r="K4" s="18"/>
      <c r="L4" s="18"/>
      <c r="M4" s="18"/>
      <c r="N4" s="18"/>
      <c r="O4" s="18"/>
      <c r="P4" s="18"/>
      <c r="Q4" s="18"/>
      <c r="R4" s="18"/>
      <c r="S4" s="18"/>
      <c r="T4" s="18"/>
      <c r="U4" s="18"/>
      <c r="V4" s="18"/>
      <c r="W4" s="18"/>
      <c r="X4" s="18"/>
    </row>
    <row r="5" spans="1:24" x14ac:dyDescent="0.3">
      <c r="B5" s="21"/>
      <c r="C5" s="21"/>
      <c r="D5" s="21"/>
      <c r="E5" s="21"/>
      <c r="F5" s="21"/>
      <c r="G5" s="21"/>
      <c r="H5" s="21"/>
      <c r="I5" s="21"/>
      <c r="J5" s="21"/>
      <c r="K5" s="21"/>
      <c r="L5" s="21"/>
      <c r="M5"/>
      <c r="N5"/>
      <c r="O5"/>
      <c r="P5"/>
      <c r="Q5"/>
      <c r="R5"/>
      <c r="S5"/>
      <c r="T5"/>
      <c r="U5"/>
      <c r="V5"/>
      <c r="W5"/>
      <c r="X5"/>
    </row>
    <row r="6" spans="1:24" x14ac:dyDescent="0.3">
      <c r="B6" s="20"/>
      <c r="C6" s="20"/>
      <c r="D6" s="20"/>
      <c r="E6" s="20"/>
      <c r="F6" s="20"/>
      <c r="G6" s="20"/>
      <c r="H6" s="20"/>
      <c r="I6" s="20"/>
      <c r="J6" s="20"/>
      <c r="K6" s="20"/>
      <c r="L6" s="20"/>
      <c r="M6"/>
      <c r="N6"/>
      <c r="O6"/>
      <c r="P6"/>
      <c r="Q6"/>
      <c r="R6"/>
      <c r="S6"/>
      <c r="T6"/>
      <c r="U6"/>
      <c r="V6"/>
      <c r="W6"/>
      <c r="X6"/>
    </row>
    <row r="7" spans="1:24" x14ac:dyDescent="0.3">
      <c r="B7" s="20"/>
      <c r="C7" s="20"/>
      <c r="D7" s="20"/>
      <c r="E7" s="20"/>
      <c r="F7" s="20"/>
      <c r="G7" s="20"/>
      <c r="H7" s="20"/>
      <c r="I7" s="20"/>
      <c r="J7" s="20"/>
      <c r="K7" s="20"/>
      <c r="L7" s="20"/>
      <c r="M7"/>
      <c r="N7" s="14"/>
      <c r="O7"/>
      <c r="P7"/>
      <c r="Q7"/>
      <c r="R7"/>
      <c r="S7"/>
      <c r="T7"/>
      <c r="U7"/>
      <c r="V7"/>
      <c r="W7"/>
      <c r="X7"/>
    </row>
    <row r="8" spans="1:24" x14ac:dyDescent="0.3">
      <c r="B8" s="20"/>
      <c r="C8" s="20"/>
      <c r="D8" s="20"/>
      <c r="E8" s="20"/>
      <c r="F8" s="20"/>
      <c r="G8" s="20"/>
      <c r="H8" s="20"/>
      <c r="I8" s="20"/>
      <c r="J8" s="20"/>
      <c r="K8" s="20"/>
      <c r="L8" s="20"/>
      <c r="M8"/>
      <c r="N8"/>
      <c r="O8"/>
      <c r="P8"/>
      <c r="Q8"/>
      <c r="R8"/>
      <c r="S8"/>
      <c r="T8"/>
      <c r="U8"/>
      <c r="V8"/>
      <c r="W8"/>
      <c r="X8"/>
    </row>
    <row r="9" spans="1:24" x14ac:dyDescent="0.3">
      <c r="B9" s="20"/>
      <c r="C9" s="20"/>
      <c r="D9" s="20"/>
      <c r="E9" s="20"/>
      <c r="F9" s="20"/>
      <c r="G9" s="20"/>
      <c r="H9" s="20"/>
      <c r="I9" s="20"/>
      <c r="J9" s="20"/>
      <c r="K9" s="20"/>
      <c r="L9" s="20"/>
      <c r="M9"/>
      <c r="N9"/>
      <c r="O9"/>
      <c r="P9"/>
      <c r="Q9"/>
      <c r="R9"/>
      <c r="S9"/>
      <c r="T9"/>
      <c r="U9"/>
      <c r="V9"/>
      <c r="W9"/>
      <c r="X9"/>
    </row>
    <row r="10" spans="1:24" x14ac:dyDescent="0.3">
      <c r="B10" s="20"/>
      <c r="C10" s="20"/>
      <c r="D10" s="20"/>
      <c r="E10" s="20"/>
      <c r="F10" s="20"/>
      <c r="G10" s="20"/>
      <c r="H10" s="20"/>
      <c r="I10" s="20"/>
      <c r="J10" s="20"/>
      <c r="K10" s="20"/>
      <c r="L10" s="20"/>
      <c r="M10"/>
      <c r="N10"/>
      <c r="O10"/>
      <c r="P10"/>
      <c r="Q10"/>
      <c r="R10"/>
      <c r="S10"/>
      <c r="T10"/>
      <c r="U10"/>
      <c r="V10"/>
      <c r="W10"/>
      <c r="X10"/>
    </row>
    <row r="11" spans="1:24" x14ac:dyDescent="0.3">
      <c r="B11" s="20"/>
      <c r="C11" s="20"/>
      <c r="D11" s="20"/>
      <c r="E11" s="20"/>
      <c r="F11" s="20"/>
      <c r="G11" s="20"/>
      <c r="H11" s="20"/>
      <c r="I11" s="20"/>
      <c r="J11" s="20"/>
      <c r="K11" s="20"/>
      <c r="L11" s="20"/>
      <c r="M11" s="14"/>
      <c r="N11"/>
      <c r="O11"/>
      <c r="P11"/>
      <c r="Q11"/>
      <c r="R11"/>
      <c r="S11"/>
      <c r="T11"/>
      <c r="U11"/>
      <c r="V11"/>
      <c r="W11"/>
      <c r="X11"/>
    </row>
    <row r="12" spans="1:24" x14ac:dyDescent="0.3">
      <c r="B12" s="20"/>
      <c r="C12" s="20"/>
      <c r="D12" s="20"/>
      <c r="E12" s="20"/>
      <c r="F12" s="20"/>
      <c r="G12" s="20"/>
      <c r="H12" s="20"/>
      <c r="I12" s="20"/>
      <c r="J12" s="20"/>
      <c r="K12" s="20"/>
      <c r="L12" s="20"/>
      <c r="M12"/>
      <c r="N12"/>
      <c r="O12"/>
      <c r="P12"/>
      <c r="Q12"/>
      <c r="R12"/>
      <c r="S12"/>
      <c r="T12"/>
      <c r="U12"/>
      <c r="V12"/>
      <c r="W12"/>
      <c r="X12"/>
    </row>
    <row r="13" spans="1:24" x14ac:dyDescent="0.3">
      <c r="B13" s="20"/>
      <c r="C13" s="20"/>
      <c r="D13" s="20"/>
      <c r="E13" s="20"/>
      <c r="F13" s="20"/>
      <c r="G13" s="20"/>
      <c r="H13" s="20"/>
      <c r="I13" s="20"/>
      <c r="J13" s="20"/>
      <c r="K13" s="20"/>
      <c r="L13" s="20"/>
      <c r="M13"/>
      <c r="N13"/>
      <c r="O13"/>
      <c r="P13"/>
      <c r="Q13"/>
      <c r="R13"/>
      <c r="S13"/>
      <c r="T13"/>
      <c r="U13"/>
      <c r="V13"/>
      <c r="W13"/>
      <c r="X13"/>
    </row>
    <row r="14" spans="1:24" x14ac:dyDescent="0.3">
      <c r="B14" s="20"/>
      <c r="C14" s="20"/>
      <c r="D14" s="20"/>
      <c r="E14" s="20"/>
      <c r="F14" s="20"/>
      <c r="G14" s="20"/>
      <c r="H14" s="20"/>
      <c r="I14" s="20"/>
      <c r="J14" s="20"/>
      <c r="K14" s="20"/>
      <c r="L14" s="20"/>
      <c r="M14"/>
      <c r="N14"/>
      <c r="O14"/>
      <c r="P14"/>
      <c r="Q14"/>
      <c r="R14"/>
      <c r="S14"/>
      <c r="T14"/>
      <c r="U14"/>
      <c r="V14"/>
      <c r="W14"/>
      <c r="X14"/>
    </row>
    <row r="15" spans="1:24" x14ac:dyDescent="0.3">
      <c r="B15" s="20"/>
      <c r="C15" s="20"/>
      <c r="D15" s="20"/>
      <c r="E15" s="20"/>
      <c r="F15" s="20"/>
      <c r="G15" s="20"/>
      <c r="H15" s="20"/>
      <c r="I15" s="20"/>
      <c r="J15" s="20"/>
      <c r="K15" s="20"/>
      <c r="L15" s="20"/>
      <c r="M15"/>
      <c r="N15"/>
      <c r="O15"/>
      <c r="P15"/>
      <c r="Q15"/>
      <c r="R15"/>
      <c r="S15"/>
      <c r="T15"/>
      <c r="U15"/>
      <c r="V15"/>
      <c r="W15"/>
      <c r="X15"/>
    </row>
    <row r="16" spans="1:24" x14ac:dyDescent="0.3">
      <c r="B16" s="20"/>
      <c r="C16" s="20"/>
      <c r="D16" s="20"/>
      <c r="E16" s="20"/>
      <c r="F16" s="20"/>
      <c r="G16" s="20"/>
      <c r="H16" s="20"/>
      <c r="I16" s="20"/>
      <c r="J16" s="20"/>
      <c r="K16" s="20"/>
      <c r="L16" s="20"/>
      <c r="M16"/>
      <c r="N16"/>
      <c r="O16"/>
      <c r="P16"/>
      <c r="Q16"/>
      <c r="R16"/>
      <c r="S16"/>
      <c r="T16"/>
      <c r="U16"/>
      <c r="V16"/>
      <c r="W16"/>
      <c r="X16"/>
    </row>
    <row r="17" spans="2:24" x14ac:dyDescent="0.3">
      <c r="B17" s="20"/>
      <c r="C17" s="20"/>
      <c r="D17" s="20"/>
      <c r="E17" s="20"/>
      <c r="F17" s="20"/>
      <c r="G17" s="20"/>
      <c r="H17" s="20"/>
      <c r="I17" s="20"/>
      <c r="J17" s="20"/>
      <c r="K17" s="20"/>
      <c r="L17" s="20"/>
      <c r="M17"/>
      <c r="N17"/>
      <c r="O17"/>
      <c r="P17"/>
      <c r="Q17"/>
      <c r="R17"/>
      <c r="S17"/>
      <c r="T17"/>
      <c r="U17"/>
      <c r="V17"/>
      <c r="W17"/>
      <c r="X17"/>
    </row>
    <row r="18" spans="2:24" x14ac:dyDescent="0.3">
      <c r="B18" s="20"/>
      <c r="C18" s="20"/>
      <c r="D18" s="20"/>
      <c r="E18" s="20"/>
      <c r="F18" s="20"/>
      <c r="G18" s="20"/>
      <c r="H18" s="20"/>
      <c r="I18" s="20"/>
      <c r="J18" s="20"/>
      <c r="K18" s="20"/>
      <c r="L18" s="20"/>
      <c r="M18"/>
      <c r="N18"/>
      <c r="O18"/>
      <c r="P18"/>
      <c r="Q18"/>
      <c r="R18"/>
      <c r="S18"/>
      <c r="T18"/>
      <c r="U18"/>
      <c r="V18"/>
      <c r="W18"/>
      <c r="X18"/>
    </row>
    <row r="19" spans="2:24" x14ac:dyDescent="0.3">
      <c r="B19" s="20"/>
      <c r="C19" s="20"/>
      <c r="D19" s="20"/>
      <c r="E19" s="20"/>
      <c r="F19" s="20"/>
      <c r="G19" s="20"/>
      <c r="H19" s="20"/>
      <c r="I19" s="20"/>
      <c r="J19" s="20"/>
      <c r="K19" s="20"/>
      <c r="L19" s="20"/>
      <c r="M19"/>
      <c r="N19"/>
      <c r="O19"/>
      <c r="P19"/>
      <c r="Q19"/>
      <c r="R19"/>
      <c r="S19"/>
      <c r="T19"/>
      <c r="U19"/>
      <c r="V19"/>
      <c r="W19"/>
      <c r="X19"/>
    </row>
    <row r="20" spans="2:24" x14ac:dyDescent="0.3">
      <c r="B20" s="20"/>
      <c r="C20" s="20"/>
      <c r="D20" s="20"/>
      <c r="E20" s="20"/>
      <c r="F20" s="20"/>
      <c r="G20" s="20"/>
      <c r="H20" s="20"/>
      <c r="I20" s="20"/>
      <c r="J20" s="20"/>
      <c r="K20" s="20"/>
      <c r="L20" s="20"/>
      <c r="M20"/>
      <c r="N20"/>
      <c r="O20"/>
      <c r="P20"/>
      <c r="Q20"/>
      <c r="R20"/>
      <c r="S20"/>
      <c r="T20"/>
      <c r="U20"/>
      <c r="V20"/>
      <c r="W20"/>
      <c r="X20"/>
    </row>
    <row r="21" spans="2:24" x14ac:dyDescent="0.3">
      <c r="B21" s="20"/>
      <c r="C21" s="20"/>
      <c r="D21" s="20"/>
      <c r="E21" s="20"/>
      <c r="F21" s="20"/>
      <c r="G21" s="20"/>
      <c r="H21" s="20"/>
      <c r="I21" s="20"/>
      <c r="J21" s="20"/>
      <c r="K21" s="20"/>
      <c r="L21" s="20"/>
      <c r="M21"/>
      <c r="N21"/>
      <c r="O21" t="s">
        <v>93</v>
      </c>
      <c r="P21"/>
      <c r="Q21"/>
      <c r="R21"/>
      <c r="S21"/>
      <c r="T21"/>
      <c r="U21"/>
      <c r="V21"/>
      <c r="W21"/>
      <c r="X21"/>
    </row>
    <row r="22" spans="2:24" x14ac:dyDescent="0.3">
      <c r="B22" s="20"/>
      <c r="C22" s="20"/>
      <c r="D22" s="20"/>
      <c r="E22" s="20"/>
      <c r="F22" s="20"/>
      <c r="G22" s="20"/>
      <c r="H22" s="20"/>
      <c r="I22" s="20"/>
      <c r="J22" s="20"/>
      <c r="K22" s="20"/>
      <c r="L22" s="20"/>
      <c r="M22"/>
      <c r="N22"/>
      <c r="O22"/>
      <c r="P22"/>
      <c r="Q22"/>
      <c r="R22"/>
      <c r="S22"/>
      <c r="T22"/>
      <c r="U22"/>
      <c r="V22"/>
      <c r="W22"/>
      <c r="X22"/>
    </row>
    <row r="23" spans="2:24" x14ac:dyDescent="0.3">
      <c r="B23" s="20"/>
      <c r="C23" s="20"/>
      <c r="D23" s="20"/>
      <c r="E23" s="20"/>
      <c r="F23" s="20"/>
      <c r="G23" s="20"/>
      <c r="H23" s="20"/>
      <c r="I23" s="20"/>
      <c r="J23" s="20"/>
      <c r="K23" s="20"/>
      <c r="L23" s="20"/>
      <c r="M23"/>
      <c r="N23"/>
      <c r="O23"/>
      <c r="P23"/>
      <c r="Q23"/>
      <c r="R23"/>
      <c r="S23"/>
      <c r="T23"/>
      <c r="U23"/>
      <c r="V23"/>
      <c r="W23"/>
      <c r="X23"/>
    </row>
    <row r="24" spans="2:24" x14ac:dyDescent="0.3">
      <c r="B24" s="20"/>
      <c r="C24" s="20"/>
      <c r="D24" s="20"/>
      <c r="E24" s="20"/>
      <c r="F24" s="20"/>
      <c r="G24" s="20"/>
      <c r="H24" s="20"/>
      <c r="I24" s="20"/>
      <c r="J24" s="20"/>
      <c r="K24" s="20"/>
      <c r="L24" s="20"/>
      <c r="M24"/>
      <c r="N24"/>
      <c r="O24"/>
      <c r="P24"/>
      <c r="Q24"/>
      <c r="R24"/>
      <c r="S24"/>
      <c r="T24"/>
      <c r="U24"/>
      <c r="V24"/>
      <c r="W24"/>
      <c r="X24"/>
    </row>
    <row r="25" spans="2:24" x14ac:dyDescent="0.3">
      <c r="B25" s="20"/>
      <c r="C25" s="20"/>
      <c r="D25" s="20"/>
      <c r="E25" s="20"/>
      <c r="F25" s="20"/>
      <c r="G25" s="20"/>
      <c r="H25" s="20"/>
      <c r="I25" s="20"/>
      <c r="J25" s="20"/>
      <c r="K25" s="20"/>
      <c r="L25" s="20"/>
      <c r="M25"/>
      <c r="N25"/>
      <c r="O25"/>
      <c r="P25"/>
      <c r="Q25"/>
      <c r="R25"/>
      <c r="S25"/>
      <c r="T25"/>
      <c r="U25"/>
      <c r="V25"/>
      <c r="W25"/>
      <c r="X25"/>
    </row>
    <row r="26" spans="2:24" x14ac:dyDescent="0.3">
      <c r="B26" s="20"/>
      <c r="C26" s="20"/>
      <c r="D26" s="20"/>
      <c r="E26" s="20"/>
      <c r="F26" s="20"/>
      <c r="G26" s="20"/>
      <c r="H26" s="20"/>
      <c r="I26" s="20"/>
      <c r="J26" s="20"/>
      <c r="K26" s="20"/>
      <c r="L26" s="20"/>
      <c r="M26"/>
      <c r="N26"/>
      <c r="O26"/>
      <c r="P26"/>
      <c r="Q26"/>
      <c r="R26"/>
      <c r="S26"/>
      <c r="T26"/>
      <c r="U26"/>
      <c r="V26"/>
      <c r="W26"/>
      <c r="X26"/>
    </row>
    <row r="27" spans="2:24" x14ac:dyDescent="0.3">
      <c r="B27" s="20"/>
      <c r="C27" s="20"/>
      <c r="D27" s="20"/>
      <c r="E27" s="20"/>
      <c r="F27" s="20"/>
      <c r="G27" s="20"/>
      <c r="H27" s="20"/>
      <c r="I27" s="20"/>
      <c r="J27" s="20"/>
      <c r="K27" s="20"/>
      <c r="L27" s="20"/>
      <c r="M27"/>
      <c r="N27"/>
      <c r="O27"/>
      <c r="P27"/>
      <c r="Q27"/>
      <c r="R27"/>
      <c r="S27"/>
      <c r="T27"/>
      <c r="U27"/>
      <c r="V27"/>
      <c r="W27"/>
      <c r="X27"/>
    </row>
    <row r="28" spans="2:24" x14ac:dyDescent="0.3">
      <c r="B28" s="20"/>
      <c r="C28" s="20"/>
      <c r="D28" s="20"/>
      <c r="E28" s="20"/>
      <c r="F28" s="20"/>
      <c r="G28" s="20"/>
      <c r="H28" s="20"/>
      <c r="I28" s="20"/>
      <c r="J28" s="20"/>
      <c r="K28" s="20"/>
      <c r="L28" s="20"/>
      <c r="M28"/>
      <c r="N28"/>
      <c r="O28"/>
      <c r="P28"/>
      <c r="Q28"/>
      <c r="R28"/>
      <c r="S28"/>
      <c r="T28"/>
      <c r="U28"/>
      <c r="V28"/>
      <c r="W28"/>
      <c r="X28"/>
    </row>
    <row r="29" spans="2:24" x14ac:dyDescent="0.3">
      <c r="B29" s="20"/>
      <c r="C29" s="20"/>
      <c r="D29" s="20"/>
      <c r="E29" s="20"/>
      <c r="F29" s="20"/>
      <c r="G29" s="20"/>
      <c r="H29" s="20"/>
      <c r="I29" s="20"/>
      <c r="J29" s="20"/>
      <c r="K29" s="20"/>
      <c r="L29" s="20"/>
      <c r="M29"/>
      <c r="N29"/>
      <c r="O29"/>
      <c r="P29"/>
      <c r="Q29"/>
      <c r="R29"/>
      <c r="S29"/>
      <c r="T29"/>
      <c r="U29"/>
      <c r="V29"/>
      <c r="W29"/>
      <c r="X29"/>
    </row>
    <row r="30" spans="2:24" x14ac:dyDescent="0.3">
      <c r="B30" s="20"/>
      <c r="C30" s="20"/>
      <c r="D30" s="20"/>
      <c r="E30" s="20"/>
      <c r="F30" s="20"/>
      <c r="G30" s="20"/>
      <c r="H30" s="20"/>
      <c r="I30" s="20"/>
      <c r="J30" s="20"/>
      <c r="K30" s="20"/>
      <c r="L30" s="20"/>
      <c r="M30"/>
      <c r="N30"/>
      <c r="O30"/>
      <c r="P30"/>
      <c r="Q30"/>
      <c r="R30"/>
      <c r="S30"/>
      <c r="T30"/>
      <c r="U30"/>
      <c r="V30"/>
      <c r="W30"/>
      <c r="X30"/>
    </row>
    <row r="31" spans="2:24" x14ac:dyDescent="0.3">
      <c r="B31" s="20"/>
      <c r="C31" s="20"/>
      <c r="D31" s="20"/>
      <c r="E31" s="20"/>
      <c r="F31" s="20"/>
      <c r="G31" s="20"/>
      <c r="H31" s="20"/>
      <c r="I31" s="20"/>
      <c r="J31" s="20"/>
      <c r="K31" s="20"/>
      <c r="L31" s="20"/>
      <c r="M31"/>
      <c r="N31"/>
      <c r="O31"/>
      <c r="P31"/>
      <c r="Q31"/>
      <c r="R31"/>
      <c r="S31"/>
      <c r="T31"/>
      <c r="U31"/>
      <c r="V31"/>
      <c r="W31"/>
      <c r="X31"/>
    </row>
    <row r="32" spans="2:24" x14ac:dyDescent="0.3">
      <c r="B32" s="20"/>
      <c r="C32" s="20"/>
      <c r="D32" s="20"/>
      <c r="E32" s="20"/>
      <c r="F32" s="20"/>
      <c r="G32" s="20"/>
      <c r="H32" s="20"/>
      <c r="I32" s="20"/>
      <c r="J32" s="20"/>
      <c r="K32" s="20"/>
      <c r="L32" s="20"/>
      <c r="M32"/>
      <c r="N32"/>
      <c r="O32"/>
      <c r="P32"/>
      <c r="Q32"/>
      <c r="R32"/>
      <c r="S32"/>
      <c r="T32"/>
      <c r="U32"/>
      <c r="V32"/>
      <c r="W32"/>
      <c r="X32"/>
    </row>
    <row r="33" spans="2:24" x14ac:dyDescent="0.3">
      <c r="B33" s="20"/>
      <c r="C33" s="20"/>
      <c r="D33" s="20"/>
      <c r="E33" s="20"/>
      <c r="F33" s="20"/>
      <c r="G33" s="20"/>
      <c r="H33" s="20"/>
      <c r="I33" s="20"/>
      <c r="J33" s="20"/>
      <c r="K33" s="20"/>
      <c r="L33" s="20"/>
      <c r="M33"/>
      <c r="N33"/>
      <c r="O33"/>
      <c r="P33"/>
      <c r="Q33"/>
      <c r="R33"/>
      <c r="S33"/>
      <c r="T33"/>
      <c r="U33"/>
      <c r="V33"/>
      <c r="W33"/>
      <c r="X33"/>
    </row>
    <row r="34" spans="2:24" x14ac:dyDescent="0.3">
      <c r="B34" s="20"/>
      <c r="C34" s="20"/>
      <c r="D34" s="20"/>
      <c r="E34" s="20"/>
      <c r="F34" s="20"/>
      <c r="G34" s="20"/>
      <c r="H34" s="20"/>
      <c r="I34" s="20"/>
      <c r="J34" s="20"/>
      <c r="K34" s="20"/>
      <c r="L34" s="20"/>
      <c r="M34"/>
      <c r="N34"/>
      <c r="O34"/>
      <c r="P34"/>
      <c r="Q34"/>
      <c r="R34"/>
      <c r="S34"/>
      <c r="T34"/>
      <c r="U34"/>
      <c r="V34"/>
      <c r="W34"/>
      <c r="X34"/>
    </row>
    <row r="35" spans="2:24" x14ac:dyDescent="0.3">
      <c r="B35" s="20"/>
      <c r="C35" s="20"/>
      <c r="D35" s="20"/>
      <c r="E35" s="20"/>
      <c r="F35" s="20"/>
      <c r="G35" s="20"/>
      <c r="H35" s="20"/>
      <c r="I35" s="20"/>
      <c r="J35" s="20"/>
      <c r="K35" s="20"/>
      <c r="L35" s="20"/>
      <c r="M35"/>
      <c r="N35"/>
      <c r="O35"/>
      <c r="P35"/>
      <c r="Q35"/>
      <c r="R35"/>
      <c r="S35"/>
      <c r="T35"/>
      <c r="U35"/>
      <c r="V35"/>
      <c r="W35"/>
      <c r="X35"/>
    </row>
    <row r="36" spans="2:24" x14ac:dyDescent="0.3">
      <c r="B36" s="20"/>
      <c r="C36" s="20"/>
      <c r="D36" s="20"/>
      <c r="E36" s="20"/>
      <c r="F36" s="20"/>
      <c r="G36" s="20"/>
      <c r="H36" s="20"/>
      <c r="I36" s="20"/>
      <c r="J36" s="20"/>
      <c r="K36" s="20"/>
      <c r="L36" s="20"/>
      <c r="M36"/>
      <c r="N36"/>
      <c r="O36"/>
      <c r="P36"/>
      <c r="Q36"/>
      <c r="R36"/>
      <c r="S36"/>
      <c r="T36"/>
      <c r="U36"/>
      <c r="V36"/>
      <c r="W36"/>
      <c r="X36"/>
    </row>
    <row r="37" spans="2:24" x14ac:dyDescent="0.3">
      <c r="B37" s="20"/>
      <c r="C37" s="20"/>
      <c r="D37" s="20"/>
      <c r="E37" s="20"/>
      <c r="F37" s="20"/>
      <c r="G37" s="20"/>
      <c r="H37" s="20"/>
      <c r="I37" s="20"/>
      <c r="J37" s="20"/>
      <c r="K37" s="20"/>
      <c r="L37" s="20"/>
      <c r="M37"/>
      <c r="N37"/>
      <c r="O37"/>
      <c r="P37"/>
      <c r="Q37"/>
      <c r="R37"/>
      <c r="S37"/>
      <c r="T37"/>
      <c r="U37"/>
      <c r="V37"/>
      <c r="W37"/>
      <c r="X37"/>
    </row>
    <row r="38" spans="2:24" x14ac:dyDescent="0.3">
      <c r="B38" s="20"/>
      <c r="C38" s="20"/>
      <c r="D38" s="20"/>
      <c r="E38" s="20"/>
      <c r="F38" s="20"/>
      <c r="G38" s="20"/>
      <c r="H38" s="20"/>
      <c r="I38" s="20"/>
      <c r="J38" s="20"/>
      <c r="K38" s="20"/>
      <c r="L38" s="20"/>
      <c r="M38"/>
      <c r="N38"/>
      <c r="O38"/>
      <c r="P38"/>
      <c r="Q38"/>
      <c r="R38"/>
      <c r="S38"/>
      <c r="T38"/>
      <c r="U38"/>
      <c r="V38"/>
      <c r="W38"/>
      <c r="X38"/>
    </row>
    <row r="39" spans="2:24" x14ac:dyDescent="0.3">
      <c r="B39" s="20"/>
      <c r="C39" s="20"/>
      <c r="D39" s="20"/>
      <c r="E39" s="20"/>
      <c r="F39" s="20"/>
      <c r="G39" s="20"/>
      <c r="H39" s="20"/>
      <c r="I39" s="20"/>
      <c r="J39" s="20"/>
      <c r="K39" s="20"/>
      <c r="L39" s="20"/>
      <c r="M39"/>
      <c r="N39"/>
      <c r="O39"/>
      <c r="P39"/>
      <c r="Q39"/>
      <c r="R39"/>
      <c r="S39"/>
      <c r="T39"/>
      <c r="U39"/>
      <c r="V39"/>
      <c r="W39"/>
      <c r="X39"/>
    </row>
    <row r="40" spans="2:24" x14ac:dyDescent="0.3">
      <c r="B40"/>
      <c r="C40"/>
      <c r="D40"/>
      <c r="E40"/>
      <c r="F40"/>
      <c r="G40"/>
      <c r="H40"/>
      <c r="I40"/>
      <c r="J40"/>
      <c r="K40"/>
      <c r="L40"/>
      <c r="M40"/>
      <c r="N40"/>
      <c r="O40"/>
      <c r="P40"/>
      <c r="Q40"/>
      <c r="R40"/>
      <c r="S40"/>
      <c r="T40"/>
      <c r="U40"/>
      <c r="V40"/>
      <c r="W40"/>
      <c r="X40"/>
    </row>
    <row r="41" spans="2:24" x14ac:dyDescent="0.3">
      <c r="B41"/>
      <c r="C41"/>
      <c r="D41"/>
      <c r="E41"/>
      <c r="F41"/>
      <c r="G41"/>
      <c r="H41"/>
      <c r="I41"/>
      <c r="J41"/>
      <c r="K41"/>
      <c r="L41"/>
      <c r="M41"/>
      <c r="N41"/>
      <c r="O41"/>
      <c r="P41"/>
      <c r="Q41"/>
      <c r="R41"/>
      <c r="S41"/>
      <c r="T41"/>
      <c r="U41"/>
      <c r="V41"/>
      <c r="W41"/>
      <c r="X41"/>
    </row>
    <row r="42" spans="2:24" x14ac:dyDescent="0.3">
      <c r="B42"/>
      <c r="C42"/>
      <c r="D42"/>
      <c r="E42"/>
      <c r="F42"/>
      <c r="G42"/>
      <c r="H42"/>
      <c r="I42"/>
      <c r="J42"/>
      <c r="K42"/>
      <c r="L42"/>
      <c r="M42"/>
      <c r="N42"/>
      <c r="O42"/>
      <c r="P42"/>
      <c r="Q42"/>
      <c r="R42"/>
      <c r="S42"/>
      <c r="T42"/>
      <c r="U42"/>
      <c r="V42"/>
      <c r="W42"/>
      <c r="X42"/>
    </row>
    <row r="43" spans="2:24" x14ac:dyDescent="0.3">
      <c r="B43"/>
      <c r="C43"/>
      <c r="D43"/>
      <c r="E43"/>
      <c r="F43"/>
      <c r="G43"/>
      <c r="H43"/>
      <c r="I43"/>
      <c r="J43"/>
      <c r="K43"/>
      <c r="L43"/>
      <c r="M43"/>
      <c r="N43"/>
      <c r="O43"/>
      <c r="P43"/>
      <c r="Q43"/>
      <c r="R43"/>
      <c r="S43"/>
      <c r="T43"/>
      <c r="U43"/>
      <c r="V43"/>
      <c r="W43"/>
      <c r="X43"/>
    </row>
    <row r="44" spans="2:24" x14ac:dyDescent="0.3">
      <c r="B44"/>
      <c r="C44"/>
      <c r="D44"/>
      <c r="E44"/>
      <c r="F44"/>
      <c r="G44"/>
      <c r="H44"/>
      <c r="I44"/>
      <c r="J44"/>
      <c r="K44"/>
      <c r="L44"/>
      <c r="M44"/>
      <c r="N44"/>
      <c r="O44"/>
      <c r="P44"/>
      <c r="Q44"/>
      <c r="R44"/>
      <c r="S44"/>
      <c r="T44"/>
      <c r="U44"/>
      <c r="V44"/>
      <c r="W44"/>
      <c r="X44"/>
    </row>
    <row r="45" spans="2:24" x14ac:dyDescent="0.3">
      <c r="B45"/>
      <c r="C45"/>
      <c r="D45"/>
      <c r="E45"/>
      <c r="F45"/>
      <c r="G45"/>
      <c r="H45"/>
      <c r="I45"/>
      <c r="J45"/>
      <c r="K45"/>
      <c r="L45"/>
      <c r="M45"/>
      <c r="N45"/>
      <c r="O45"/>
      <c r="P45"/>
      <c r="Q45"/>
      <c r="R45"/>
      <c r="S45"/>
      <c r="T45"/>
      <c r="U45"/>
      <c r="V45"/>
      <c r="W45"/>
      <c r="X45"/>
    </row>
    <row r="46" spans="2:24" x14ac:dyDescent="0.3">
      <c r="B46"/>
      <c r="C46"/>
      <c r="D46"/>
      <c r="E46"/>
      <c r="F46"/>
      <c r="G46"/>
      <c r="H46"/>
      <c r="I46"/>
      <c r="J46"/>
      <c r="K46"/>
      <c r="L46"/>
      <c r="M46"/>
      <c r="N46"/>
      <c r="O46"/>
      <c r="P46"/>
      <c r="Q46"/>
      <c r="R46"/>
      <c r="S46"/>
      <c r="T46"/>
      <c r="U46"/>
      <c r="V46"/>
      <c r="W46"/>
      <c r="X46"/>
    </row>
    <row r="47" spans="2:24" x14ac:dyDescent="0.3">
      <c r="B47"/>
      <c r="C47"/>
      <c r="D47"/>
      <c r="E47"/>
      <c r="F47"/>
      <c r="G47"/>
      <c r="H47"/>
      <c r="I47"/>
      <c r="J47"/>
      <c r="K47"/>
      <c r="L47"/>
      <c r="M47"/>
      <c r="N47"/>
      <c r="O47"/>
      <c r="P47"/>
      <c r="Q47"/>
      <c r="R47"/>
      <c r="S47"/>
      <c r="T47"/>
      <c r="U47"/>
      <c r="V47"/>
      <c r="W47"/>
      <c r="X47"/>
    </row>
    <row r="48" spans="2:24" x14ac:dyDescent="0.3">
      <c r="B48"/>
      <c r="C48"/>
      <c r="D48"/>
      <c r="E48"/>
      <c r="F48"/>
      <c r="G48"/>
      <c r="H48"/>
      <c r="I48"/>
      <c r="J48"/>
      <c r="K48"/>
      <c r="L48"/>
      <c r="M48"/>
      <c r="N48"/>
      <c r="O48"/>
      <c r="P48"/>
      <c r="Q48"/>
      <c r="R48"/>
      <c r="S48"/>
      <c r="T48"/>
      <c r="U48"/>
      <c r="V48"/>
      <c r="W48"/>
      <c r="X48"/>
    </row>
    <row r="49" spans="2:24" x14ac:dyDescent="0.3">
      <c r="B49"/>
      <c r="C49"/>
      <c r="D49"/>
      <c r="E49"/>
      <c r="F49"/>
      <c r="G49"/>
      <c r="H49"/>
      <c r="I49"/>
      <c r="J49"/>
      <c r="K49"/>
      <c r="L49"/>
      <c r="M49"/>
      <c r="N49"/>
      <c r="O49"/>
      <c r="P49"/>
      <c r="Q49"/>
      <c r="R49"/>
      <c r="S49"/>
      <c r="T49"/>
      <c r="U49"/>
      <c r="V49"/>
      <c r="W49"/>
      <c r="X49"/>
    </row>
    <row r="50" spans="2:24" x14ac:dyDescent="0.3">
      <c r="B50"/>
      <c r="C50"/>
      <c r="D50"/>
      <c r="E50"/>
      <c r="F50"/>
      <c r="G50"/>
      <c r="H50"/>
      <c r="I50"/>
      <c r="J50"/>
      <c r="K50"/>
      <c r="L50"/>
      <c r="M50"/>
      <c r="N50"/>
      <c r="O50"/>
      <c r="P50"/>
      <c r="Q50"/>
      <c r="R50"/>
      <c r="S50"/>
      <c r="T50"/>
      <c r="U50"/>
      <c r="V50"/>
      <c r="W50"/>
      <c r="X50"/>
    </row>
    <row r="51" spans="2:24" x14ac:dyDescent="0.3">
      <c r="B51"/>
      <c r="C51"/>
      <c r="D51"/>
      <c r="E51"/>
      <c r="F51"/>
      <c r="G51"/>
      <c r="H51"/>
      <c r="I51"/>
      <c r="J51"/>
      <c r="K51"/>
      <c r="L51"/>
      <c r="M51"/>
      <c r="N51"/>
      <c r="O51"/>
      <c r="P51"/>
      <c r="Q51"/>
      <c r="R51"/>
      <c r="S51"/>
      <c r="T51"/>
      <c r="U51"/>
      <c r="V51"/>
      <c r="W51"/>
      <c r="X51"/>
    </row>
    <row r="52" spans="2:24" x14ac:dyDescent="0.3">
      <c r="B52"/>
      <c r="C52"/>
      <c r="D52"/>
      <c r="E52"/>
      <c r="F52"/>
      <c r="G52"/>
      <c r="H52"/>
      <c r="I52"/>
      <c r="J52"/>
      <c r="K52"/>
      <c r="L52"/>
      <c r="M52"/>
      <c r="N52"/>
      <c r="O52"/>
      <c r="P52"/>
      <c r="Q52"/>
      <c r="R52"/>
      <c r="S52"/>
      <c r="T52"/>
      <c r="U52"/>
      <c r="V52"/>
      <c r="W52"/>
      <c r="X52"/>
    </row>
    <row r="53" spans="2:24" x14ac:dyDescent="0.3">
      <c r="B53"/>
      <c r="C53"/>
      <c r="D53"/>
      <c r="E53"/>
      <c r="F53"/>
      <c r="G53"/>
      <c r="H53"/>
      <c r="I53"/>
      <c r="J53"/>
      <c r="K53"/>
      <c r="L53"/>
      <c r="M53"/>
      <c r="N53"/>
      <c r="O53"/>
      <c r="P53"/>
      <c r="Q53"/>
      <c r="R53"/>
      <c r="S53"/>
      <c r="T53"/>
      <c r="U53"/>
      <c r="V53"/>
      <c r="W53"/>
      <c r="X53"/>
    </row>
    <row r="54" spans="2:24" x14ac:dyDescent="0.3">
      <c r="B54"/>
      <c r="C54"/>
      <c r="D54"/>
      <c r="E54"/>
      <c r="F54"/>
      <c r="G54"/>
      <c r="H54"/>
      <c r="I54"/>
      <c r="J54"/>
      <c r="K54"/>
      <c r="L54"/>
      <c r="M54"/>
    </row>
    <row r="55" spans="2:24" x14ac:dyDescent="0.3">
      <c r="B55"/>
      <c r="C55"/>
      <c r="D55"/>
      <c r="E55"/>
      <c r="F55"/>
      <c r="G55"/>
      <c r="H55"/>
      <c r="I55"/>
      <c r="J55"/>
      <c r="K55"/>
      <c r="L55"/>
      <c r="M55"/>
    </row>
    <row r="56" spans="2:24" x14ac:dyDescent="0.3">
      <c r="B56"/>
      <c r="C56"/>
      <c r="D56"/>
      <c r="E56"/>
      <c r="F56"/>
      <c r="G56"/>
      <c r="H56"/>
      <c r="I56"/>
      <c r="J56"/>
      <c r="K56"/>
      <c r="L56"/>
      <c r="M56"/>
    </row>
    <row r="57" spans="2:24" x14ac:dyDescent="0.3">
      <c r="B57"/>
      <c r="C57"/>
      <c r="D57"/>
      <c r="E57"/>
      <c r="F57"/>
      <c r="G57"/>
      <c r="H57"/>
      <c r="I57"/>
      <c r="J57"/>
      <c r="K57"/>
      <c r="L57"/>
      <c r="M57"/>
    </row>
    <row r="58" spans="2:24" x14ac:dyDescent="0.3">
      <c r="B58"/>
      <c r="C58"/>
      <c r="D58"/>
      <c r="E58"/>
      <c r="F58"/>
      <c r="G58"/>
      <c r="H58"/>
      <c r="I58"/>
      <c r="J58"/>
      <c r="K58"/>
      <c r="L58"/>
      <c r="M58"/>
    </row>
    <row r="59" spans="2:24" x14ac:dyDescent="0.3">
      <c r="B59"/>
      <c r="C59"/>
      <c r="D59"/>
      <c r="E59"/>
      <c r="F59"/>
      <c r="G59"/>
      <c r="H59"/>
      <c r="I59"/>
      <c r="J59"/>
      <c r="K59"/>
      <c r="L59"/>
      <c r="M59"/>
    </row>
    <row r="60" spans="2:24" x14ac:dyDescent="0.3">
      <c r="B60"/>
      <c r="C60"/>
      <c r="D60"/>
      <c r="E60"/>
      <c r="F60"/>
      <c r="G60"/>
      <c r="H60"/>
      <c r="I60"/>
      <c r="J60"/>
      <c r="K60"/>
      <c r="L60"/>
      <c r="M60"/>
    </row>
    <row r="61" spans="2:24" x14ac:dyDescent="0.3">
      <c r="B61"/>
      <c r="C61"/>
      <c r="D61"/>
      <c r="E61"/>
      <c r="F61"/>
      <c r="G61"/>
      <c r="H61"/>
      <c r="I61"/>
      <c r="J61"/>
      <c r="K61"/>
      <c r="L61"/>
      <c r="M61"/>
    </row>
    <row r="62" spans="2:24" x14ac:dyDescent="0.3">
      <c r="B62"/>
      <c r="C62"/>
      <c r="D62"/>
      <c r="E62"/>
      <c r="F62"/>
      <c r="G62"/>
      <c r="H62"/>
      <c r="I62"/>
      <c r="J62"/>
      <c r="K62"/>
      <c r="L62"/>
      <c r="M62"/>
    </row>
    <row r="63" spans="2:24" x14ac:dyDescent="0.3">
      <c r="B63"/>
      <c r="C63"/>
      <c r="D63"/>
      <c r="E63"/>
      <c r="F63"/>
      <c r="G63"/>
      <c r="H63"/>
      <c r="I63"/>
      <c r="J63"/>
      <c r="K63"/>
      <c r="L63"/>
      <c r="M63"/>
    </row>
    <row r="64" spans="2:24" x14ac:dyDescent="0.3">
      <c r="B64"/>
      <c r="C64"/>
      <c r="D64"/>
      <c r="E64"/>
      <c r="F64"/>
      <c r="G64"/>
      <c r="H64"/>
      <c r="I64"/>
      <c r="J64"/>
      <c r="K64"/>
      <c r="L64"/>
      <c r="M64"/>
    </row>
    <row r="65" spans="2:13" x14ac:dyDescent="0.3">
      <c r="B65"/>
      <c r="C65"/>
      <c r="D65"/>
      <c r="E65"/>
      <c r="F65"/>
      <c r="G65"/>
      <c r="H65"/>
      <c r="I65"/>
      <c r="J65"/>
      <c r="K65"/>
      <c r="L65"/>
      <c r="M65"/>
    </row>
    <row r="66" spans="2:13" x14ac:dyDescent="0.3">
      <c r="B66"/>
      <c r="C66"/>
      <c r="D66"/>
      <c r="E66"/>
      <c r="F66"/>
      <c r="G66"/>
      <c r="H66"/>
      <c r="I66"/>
      <c r="J66"/>
      <c r="K66"/>
      <c r="L66"/>
      <c r="M66"/>
    </row>
    <row r="67" spans="2:13" x14ac:dyDescent="0.3">
      <c r="B67"/>
      <c r="C67"/>
      <c r="D67"/>
      <c r="E67"/>
      <c r="F67"/>
      <c r="G67"/>
      <c r="H67"/>
      <c r="I67"/>
      <c r="J67"/>
      <c r="K67"/>
      <c r="L67"/>
      <c r="M67"/>
    </row>
    <row r="68" spans="2:13" x14ac:dyDescent="0.3">
      <c r="B68"/>
      <c r="C68"/>
      <c r="D68"/>
      <c r="E68"/>
      <c r="F68"/>
      <c r="G68"/>
      <c r="H68"/>
      <c r="I68"/>
      <c r="J68"/>
      <c r="K68"/>
      <c r="L68"/>
      <c r="M68"/>
    </row>
    <row r="69" spans="2:13" x14ac:dyDescent="0.3">
      <c r="B69"/>
      <c r="C69"/>
      <c r="D69"/>
      <c r="E69"/>
      <c r="F69"/>
      <c r="G69"/>
      <c r="H69"/>
      <c r="I69"/>
      <c r="J69"/>
      <c r="K69"/>
      <c r="L69"/>
      <c r="M69"/>
    </row>
    <row r="70" spans="2:13" x14ac:dyDescent="0.3">
      <c r="B70"/>
      <c r="C70"/>
      <c r="D70"/>
      <c r="E70"/>
      <c r="F70"/>
      <c r="G70"/>
      <c r="H70"/>
      <c r="I70"/>
      <c r="J70"/>
      <c r="K70"/>
      <c r="L70"/>
      <c r="M70"/>
    </row>
    <row r="71" spans="2:13" x14ac:dyDescent="0.3">
      <c r="B71"/>
      <c r="C71"/>
      <c r="D71"/>
      <c r="E71"/>
      <c r="F71"/>
      <c r="G71"/>
      <c r="H71"/>
      <c r="I71"/>
      <c r="J71"/>
      <c r="K71"/>
      <c r="L71"/>
      <c r="M71"/>
    </row>
    <row r="72" spans="2:13" x14ac:dyDescent="0.3">
      <c r="B72"/>
      <c r="C72"/>
      <c r="D72"/>
      <c r="E72"/>
      <c r="F72"/>
      <c r="G72"/>
      <c r="H72"/>
      <c r="I72"/>
      <c r="J72"/>
      <c r="K72"/>
      <c r="L72"/>
      <c r="M72"/>
    </row>
    <row r="73" spans="2:13" x14ac:dyDescent="0.3">
      <c r="B73"/>
      <c r="C73"/>
      <c r="D73"/>
      <c r="E73"/>
      <c r="F73"/>
      <c r="G73"/>
      <c r="H73"/>
      <c r="I73"/>
      <c r="J73"/>
      <c r="K73"/>
      <c r="L73"/>
      <c r="M73"/>
    </row>
    <row r="74" spans="2:13" x14ac:dyDescent="0.3">
      <c r="B74"/>
      <c r="C74"/>
      <c r="D74"/>
      <c r="E74"/>
      <c r="F74"/>
      <c r="G74"/>
      <c r="H74"/>
      <c r="I74"/>
      <c r="J74"/>
      <c r="K74"/>
      <c r="L74"/>
      <c r="M74"/>
    </row>
    <row r="75" spans="2:13" x14ac:dyDescent="0.3">
      <c r="B75"/>
      <c r="C75"/>
      <c r="D75"/>
      <c r="E75"/>
      <c r="F75"/>
      <c r="G75"/>
      <c r="H75"/>
      <c r="I75"/>
      <c r="J75"/>
      <c r="K75"/>
      <c r="L75"/>
      <c r="M75"/>
    </row>
    <row r="76" spans="2:13" x14ac:dyDescent="0.3">
      <c r="B76"/>
      <c r="C76"/>
      <c r="D76"/>
      <c r="E76"/>
      <c r="F76"/>
      <c r="G76"/>
      <c r="H76"/>
      <c r="I76"/>
      <c r="J76"/>
      <c r="K76"/>
      <c r="L76"/>
      <c r="M76"/>
    </row>
    <row r="77" spans="2:13" x14ac:dyDescent="0.3">
      <c r="B77"/>
      <c r="C77"/>
      <c r="D77"/>
      <c r="E77"/>
      <c r="F77"/>
      <c r="G77"/>
      <c r="H77"/>
      <c r="I77"/>
      <c r="J77"/>
      <c r="K77"/>
      <c r="L77"/>
      <c r="M77"/>
    </row>
    <row r="78" spans="2:13" x14ac:dyDescent="0.3">
      <c r="B78"/>
      <c r="C78"/>
      <c r="D78"/>
      <c r="E78"/>
      <c r="F78"/>
      <c r="G78"/>
      <c r="H78"/>
      <c r="I78"/>
      <c r="J78"/>
      <c r="K78"/>
      <c r="L78"/>
      <c r="M78"/>
    </row>
    <row r="79" spans="2:13" x14ac:dyDescent="0.3">
      <c r="B79"/>
      <c r="C79"/>
      <c r="D79"/>
      <c r="E79"/>
      <c r="F79"/>
      <c r="G79"/>
      <c r="H79"/>
      <c r="I79"/>
      <c r="J79"/>
      <c r="K79"/>
      <c r="L79"/>
      <c r="M79"/>
    </row>
    <row r="80" spans="2:13" x14ac:dyDescent="0.3">
      <c r="B80"/>
      <c r="C80"/>
      <c r="D80"/>
      <c r="E80"/>
      <c r="F80"/>
      <c r="G80"/>
      <c r="H80"/>
      <c r="I80"/>
      <c r="J80"/>
      <c r="K80"/>
      <c r="L80"/>
      <c r="M80"/>
    </row>
    <row r="81" spans="2:13" x14ac:dyDescent="0.3">
      <c r="B81"/>
      <c r="C81"/>
      <c r="D81"/>
      <c r="E81"/>
      <c r="F81"/>
      <c r="G81"/>
      <c r="H81"/>
      <c r="I81"/>
      <c r="J81"/>
      <c r="K81"/>
      <c r="L81"/>
      <c r="M81"/>
    </row>
    <row r="82" spans="2:13" x14ac:dyDescent="0.3">
      <c r="B82"/>
      <c r="C82"/>
      <c r="D82"/>
      <c r="E82"/>
      <c r="F82"/>
      <c r="G82"/>
      <c r="H82"/>
      <c r="I82"/>
      <c r="J82"/>
      <c r="K82"/>
      <c r="L82"/>
      <c r="M82"/>
    </row>
    <row r="83" spans="2:13" x14ac:dyDescent="0.3">
      <c r="B83"/>
      <c r="C83"/>
      <c r="D83"/>
      <c r="E83"/>
      <c r="F83"/>
      <c r="G83"/>
      <c r="H83"/>
      <c r="I83"/>
      <c r="J83"/>
      <c r="K83"/>
      <c r="L83"/>
      <c r="M83"/>
    </row>
    <row r="84" spans="2:13" x14ac:dyDescent="0.3">
      <c r="B84"/>
      <c r="C84"/>
      <c r="D84"/>
      <c r="E84"/>
      <c r="F84"/>
      <c r="G84"/>
      <c r="H84"/>
      <c r="I84"/>
      <c r="J84"/>
      <c r="K84"/>
      <c r="L84"/>
      <c r="M84"/>
    </row>
    <row r="85" spans="2:13" x14ac:dyDescent="0.3">
      <c r="B85"/>
      <c r="C85"/>
      <c r="D85"/>
      <c r="E85"/>
      <c r="F85"/>
      <c r="G85"/>
      <c r="H85"/>
      <c r="I85"/>
      <c r="J85"/>
      <c r="K85"/>
      <c r="L85"/>
      <c r="M85"/>
    </row>
    <row r="86" spans="2:13" x14ac:dyDescent="0.3">
      <c r="B86"/>
      <c r="C86"/>
      <c r="D86"/>
      <c r="E86"/>
      <c r="F86"/>
      <c r="G86"/>
      <c r="H86"/>
      <c r="I86"/>
      <c r="J86"/>
      <c r="K86"/>
      <c r="L86"/>
      <c r="M86"/>
    </row>
    <row r="87" spans="2:13" x14ac:dyDescent="0.3">
      <c r="B87"/>
      <c r="C87"/>
      <c r="D87"/>
      <c r="E87"/>
      <c r="F87"/>
      <c r="G87"/>
      <c r="H87"/>
      <c r="I87"/>
      <c r="J87"/>
      <c r="K87"/>
      <c r="L87"/>
      <c r="M87"/>
    </row>
    <row r="88" spans="2:13" x14ac:dyDescent="0.3">
      <c r="B88"/>
      <c r="C88"/>
      <c r="D88"/>
      <c r="E88"/>
      <c r="F88"/>
      <c r="G88"/>
      <c r="H88"/>
      <c r="I88"/>
      <c r="J88"/>
      <c r="K88"/>
      <c r="L88"/>
      <c r="M88"/>
    </row>
    <row r="89" spans="2:13" x14ac:dyDescent="0.3">
      <c r="B89"/>
      <c r="C89"/>
      <c r="D89"/>
      <c r="E89"/>
      <c r="F89"/>
      <c r="G89"/>
      <c r="H89"/>
      <c r="I89"/>
      <c r="J89"/>
      <c r="K89"/>
      <c r="L89"/>
      <c r="M89"/>
    </row>
    <row r="90" spans="2:13" x14ac:dyDescent="0.3">
      <c r="B90"/>
      <c r="C90"/>
      <c r="D90"/>
      <c r="E90"/>
      <c r="F90"/>
      <c r="G90"/>
      <c r="H90"/>
      <c r="I90"/>
      <c r="J90"/>
      <c r="K90"/>
      <c r="L90"/>
      <c r="M90"/>
    </row>
    <row r="91" spans="2:13" x14ac:dyDescent="0.3">
      <c r="B91"/>
      <c r="C91"/>
      <c r="D91"/>
      <c r="E91"/>
      <c r="F91"/>
      <c r="G91"/>
      <c r="H91"/>
      <c r="I91"/>
      <c r="J91"/>
      <c r="K91"/>
      <c r="L91"/>
      <c r="M91"/>
    </row>
    <row r="92" spans="2:13" x14ac:dyDescent="0.3">
      <c r="B92"/>
      <c r="C92"/>
      <c r="D92"/>
      <c r="E92"/>
      <c r="F92"/>
      <c r="G92"/>
      <c r="H92"/>
      <c r="I92"/>
      <c r="J92"/>
      <c r="K92"/>
      <c r="L92"/>
      <c r="M92"/>
    </row>
    <row r="93" spans="2:13" x14ac:dyDescent="0.3">
      <c r="B93"/>
      <c r="C93"/>
      <c r="D93"/>
      <c r="E93"/>
      <c r="F93"/>
      <c r="G93"/>
      <c r="H93"/>
      <c r="I93"/>
      <c r="J93"/>
      <c r="K93"/>
      <c r="L93"/>
      <c r="M93"/>
    </row>
    <row r="94" spans="2:13" x14ac:dyDescent="0.3">
      <c r="B94"/>
      <c r="C94"/>
      <c r="D94"/>
      <c r="E94"/>
      <c r="F94"/>
      <c r="G94"/>
      <c r="H94"/>
      <c r="I94"/>
      <c r="J94"/>
      <c r="K94"/>
      <c r="L94"/>
      <c r="M94"/>
    </row>
    <row r="95" spans="2:13" x14ac:dyDescent="0.3">
      <c r="B95"/>
      <c r="C95"/>
      <c r="D95"/>
      <c r="E95"/>
      <c r="F95"/>
      <c r="G95"/>
      <c r="H95"/>
      <c r="I95"/>
      <c r="J95"/>
      <c r="K95"/>
      <c r="L95"/>
      <c r="M95"/>
    </row>
    <row r="96" spans="2:13" x14ac:dyDescent="0.3">
      <c r="B96"/>
      <c r="C96"/>
      <c r="D96"/>
      <c r="E96"/>
      <c r="F96"/>
      <c r="G96"/>
      <c r="H96"/>
      <c r="I96"/>
      <c r="J96"/>
      <c r="K96"/>
      <c r="L96"/>
      <c r="M96"/>
    </row>
    <row r="97" spans="2:13" x14ac:dyDescent="0.3">
      <c r="B97"/>
      <c r="C97"/>
      <c r="D97"/>
      <c r="E97"/>
      <c r="F97"/>
      <c r="G97"/>
      <c r="H97"/>
      <c r="I97"/>
      <c r="J97"/>
      <c r="K97"/>
      <c r="L97"/>
      <c r="M97"/>
    </row>
    <row r="98" spans="2:13" x14ac:dyDescent="0.3">
      <c r="B98"/>
      <c r="C98"/>
      <c r="D98"/>
      <c r="E98"/>
      <c r="F98"/>
      <c r="G98"/>
      <c r="H98"/>
      <c r="I98"/>
      <c r="J98"/>
      <c r="K98"/>
      <c r="L98"/>
      <c r="M98"/>
    </row>
  </sheetData>
  <pageMargins left="0.7" right="0.7" top="0.75" bottom="0.75" header="0.3" footer="0.3"/>
  <pageSetup orientation="portrait" r:id="rId1"/>
  <drawing r:id="rId2"/>
  <legacyDrawing r:id="rId3"/>
  <controls>
    <mc:AlternateContent xmlns:mc="http://schemas.openxmlformats.org/markup-compatibility/2006">
      <mc:Choice Requires="x14">
        <control shapeId="7188" r:id="rId4" name="Label6">
          <controlPr defaultSize="0" autoLine="0" r:id="rId5">
            <anchor moveWithCells="1">
              <from>
                <xdr:col>10</xdr:col>
                <xdr:colOff>228600</xdr:colOff>
                <xdr:row>6</xdr:row>
                <xdr:rowOff>0</xdr:rowOff>
              </from>
              <to>
                <xdr:col>11</xdr:col>
                <xdr:colOff>472440</xdr:colOff>
                <xdr:row>13</xdr:row>
                <xdr:rowOff>129540</xdr:rowOff>
              </to>
            </anchor>
          </controlPr>
        </control>
      </mc:Choice>
      <mc:Fallback>
        <control shapeId="7188" r:id="rId4" name="Label6"/>
      </mc:Fallback>
    </mc:AlternateContent>
    <mc:AlternateContent xmlns:mc="http://schemas.openxmlformats.org/markup-compatibility/2006">
      <mc:Choice Requires="x14">
        <control shapeId="7168" r:id="rId6" name="Label5">
          <controlPr defaultSize="0" autoLine="0" r:id="rId7">
            <anchor moveWithCells="1">
              <from>
                <xdr:col>10</xdr:col>
                <xdr:colOff>335280</xdr:colOff>
                <xdr:row>7</xdr:row>
                <xdr:rowOff>76200</xdr:rowOff>
              </from>
              <to>
                <xdr:col>11</xdr:col>
                <xdr:colOff>373380</xdr:colOff>
                <xdr:row>11</xdr:row>
                <xdr:rowOff>83820</xdr:rowOff>
              </to>
            </anchor>
          </controlPr>
        </control>
      </mc:Choice>
      <mc:Fallback>
        <control shapeId="7187" r:id="rId6" name="Label5"/>
      </mc:Fallback>
    </mc:AlternateContent>
    <mc:AlternateContent xmlns:mc="http://schemas.openxmlformats.org/markup-compatibility/2006">
      <mc:Choice Requires="x14">
        <control shapeId="7169" r:id="rId8" name="Label4">
          <controlPr defaultSize="0" autoLine="0" autoPict="0" r:id="rId9">
            <anchor moveWithCells="1">
              <from>
                <xdr:col>8</xdr:col>
                <xdr:colOff>464820</xdr:colOff>
                <xdr:row>5</xdr:row>
                <xdr:rowOff>160020</xdr:rowOff>
              </from>
              <to>
                <xdr:col>10</xdr:col>
                <xdr:colOff>129540</xdr:colOff>
                <xdr:row>13</xdr:row>
                <xdr:rowOff>137160</xdr:rowOff>
              </to>
            </anchor>
          </controlPr>
        </control>
      </mc:Choice>
      <mc:Fallback>
        <control shapeId="7186" r:id="rId8" name="Label4"/>
      </mc:Fallback>
    </mc:AlternateContent>
    <mc:AlternateContent xmlns:mc="http://schemas.openxmlformats.org/markup-compatibility/2006">
      <mc:Choice Requires="x14">
        <control shapeId="7170" r:id="rId10" name="Label3">
          <controlPr defaultSize="0" autoLine="0" autoPict="0" r:id="rId11">
            <anchor moveWithCells="1">
              <from>
                <xdr:col>8</xdr:col>
                <xdr:colOff>548640</xdr:colOff>
                <xdr:row>7</xdr:row>
                <xdr:rowOff>22860</xdr:rowOff>
              </from>
              <to>
                <xdr:col>10</xdr:col>
                <xdr:colOff>45720</xdr:colOff>
                <xdr:row>11</xdr:row>
                <xdr:rowOff>160020</xdr:rowOff>
              </to>
            </anchor>
          </controlPr>
        </control>
      </mc:Choice>
      <mc:Fallback>
        <control shapeId="7185" r:id="rId10" name="Label3"/>
      </mc:Fallback>
    </mc:AlternateContent>
    <mc:AlternateContent xmlns:mc="http://schemas.openxmlformats.org/markup-compatibility/2006">
      <mc:Choice Requires="x14">
        <control shapeId="7179" r:id="rId12" name="Label2">
          <controlPr defaultSize="0" autoLine="0" r:id="rId13">
            <anchor moveWithCells="1">
              <from>
                <xdr:col>7</xdr:col>
                <xdr:colOff>83820</xdr:colOff>
                <xdr:row>5</xdr:row>
                <xdr:rowOff>144780</xdr:rowOff>
              </from>
              <to>
                <xdr:col>8</xdr:col>
                <xdr:colOff>396240</xdr:colOff>
                <xdr:row>13</xdr:row>
                <xdr:rowOff>144780</xdr:rowOff>
              </to>
            </anchor>
          </controlPr>
        </control>
      </mc:Choice>
      <mc:Fallback>
        <control shapeId="7179" r:id="rId12" name="Label2"/>
      </mc:Fallback>
    </mc:AlternateContent>
    <mc:AlternateContent xmlns:mc="http://schemas.openxmlformats.org/markup-compatibility/2006">
      <mc:Choice Requires="x14">
        <control shapeId="7178" r:id="rId14" name="Label1">
          <controlPr defaultSize="0" autoLine="0" autoPict="0" r:id="rId15">
            <anchor moveWithCells="1">
              <from>
                <xdr:col>7</xdr:col>
                <xdr:colOff>198120</xdr:colOff>
                <xdr:row>7</xdr:row>
                <xdr:rowOff>160020</xdr:rowOff>
              </from>
              <to>
                <xdr:col>8</xdr:col>
                <xdr:colOff>327660</xdr:colOff>
                <xdr:row>11</xdr:row>
                <xdr:rowOff>99060</xdr:rowOff>
              </to>
            </anchor>
          </controlPr>
        </control>
      </mc:Choice>
      <mc:Fallback>
        <control shapeId="7178" r:id="rId14" name="Label1"/>
      </mc:Fallback>
    </mc:AlternateContent>
  </controls>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5FC01-A46E-4ED4-AD0C-C4CD63C2F486}">
  <sheetPr codeName="Sheet2"/>
  <dimension ref="A3:H15"/>
  <sheetViews>
    <sheetView workbookViewId="0">
      <selection activeCell="J2" sqref="J2"/>
    </sheetView>
  </sheetViews>
  <sheetFormatPr defaultRowHeight="14.4" x14ac:dyDescent="0.3"/>
  <cols>
    <col min="1" max="1" width="12.5546875" bestFit="1" customWidth="1"/>
    <col min="2" max="2" width="13.88671875" bestFit="1" customWidth="1"/>
    <col min="3" max="3" width="12.109375" customWidth="1"/>
    <col min="6" max="6" width="12.6640625" customWidth="1"/>
    <col min="7" max="7" width="15.5546875" customWidth="1"/>
    <col min="8" max="8" width="16.6640625" customWidth="1"/>
  </cols>
  <sheetData>
    <row r="3" spans="1:8" x14ac:dyDescent="0.3">
      <c r="A3" s="26" t="s">
        <v>50</v>
      </c>
      <c r="B3" s="27" t="s">
        <v>70</v>
      </c>
    </row>
    <row r="4" spans="1:8" x14ac:dyDescent="0.3">
      <c r="A4" s="28" t="s">
        <v>67</v>
      </c>
      <c r="B4" s="29">
        <v>30600</v>
      </c>
      <c r="C4" s="14"/>
      <c r="F4" s="30" t="str">
        <f>A3</f>
        <v>Row Labels</v>
      </c>
      <c r="G4" s="30" t="str">
        <f>B3</f>
        <v>Sum of Savings</v>
      </c>
      <c r="H4" s="30" t="str">
        <f>G4</f>
        <v>Sum of Savings</v>
      </c>
    </row>
    <row r="5" spans="1:8" x14ac:dyDescent="0.3">
      <c r="A5" s="28" t="s">
        <v>68</v>
      </c>
      <c r="B5" s="27">
        <v>2250</v>
      </c>
      <c r="C5" s="14"/>
      <c r="F5" s="27" t="str">
        <f t="shared" ref="F5:F15" si="0">A4</f>
        <v>Jan</v>
      </c>
      <c r="G5" s="29">
        <f t="shared" ref="G5:G15" si="1">B4</f>
        <v>30600</v>
      </c>
      <c r="H5" s="29">
        <f>G5</f>
        <v>30600</v>
      </c>
    </row>
    <row r="6" spans="1:8" x14ac:dyDescent="0.3">
      <c r="A6" s="28" t="s">
        <v>69</v>
      </c>
      <c r="B6" s="27">
        <v>41400</v>
      </c>
      <c r="C6" s="14"/>
      <c r="F6" s="27" t="str">
        <f t="shared" si="0"/>
        <v>Feb</v>
      </c>
      <c r="G6" s="29">
        <f t="shared" si="1"/>
        <v>2250</v>
      </c>
      <c r="H6" s="29">
        <f t="shared" ref="H6:H15" si="2">G6</f>
        <v>2250</v>
      </c>
    </row>
    <row r="7" spans="1:8" x14ac:dyDescent="0.3">
      <c r="A7" s="28" t="s">
        <v>54</v>
      </c>
      <c r="B7" s="27">
        <v>73244</v>
      </c>
      <c r="C7" s="14"/>
      <c r="F7" s="27" t="str">
        <f t="shared" si="0"/>
        <v>Mar</v>
      </c>
      <c r="G7" s="29">
        <f t="shared" si="1"/>
        <v>41400</v>
      </c>
      <c r="H7" s="29">
        <f t="shared" si="2"/>
        <v>41400</v>
      </c>
    </row>
    <row r="8" spans="1:8" x14ac:dyDescent="0.3">
      <c r="A8" s="28" t="s">
        <v>55</v>
      </c>
      <c r="B8" s="27">
        <v>12100</v>
      </c>
      <c r="C8" s="14"/>
      <c r="F8" s="27" t="str">
        <f t="shared" si="0"/>
        <v>Apr</v>
      </c>
      <c r="G8" s="29">
        <f t="shared" si="1"/>
        <v>73244</v>
      </c>
      <c r="H8" s="29">
        <f t="shared" si="2"/>
        <v>73244</v>
      </c>
    </row>
    <row r="9" spans="1:8" x14ac:dyDescent="0.3">
      <c r="A9" s="28" t="s">
        <v>56</v>
      </c>
      <c r="B9" s="27">
        <v>56468</v>
      </c>
      <c r="C9" s="14"/>
      <c r="F9" s="27" t="str">
        <f t="shared" si="0"/>
        <v>May</v>
      </c>
      <c r="G9" s="29">
        <f t="shared" si="1"/>
        <v>12100</v>
      </c>
      <c r="H9" s="29">
        <f t="shared" si="2"/>
        <v>12100</v>
      </c>
    </row>
    <row r="10" spans="1:8" x14ac:dyDescent="0.3">
      <c r="A10" s="28" t="s">
        <v>58</v>
      </c>
      <c r="B10" s="27">
        <v>46008</v>
      </c>
      <c r="C10" s="14"/>
      <c r="F10" s="27" t="str">
        <f t="shared" si="0"/>
        <v>Jun</v>
      </c>
      <c r="G10" s="29">
        <f t="shared" si="1"/>
        <v>56468</v>
      </c>
      <c r="H10" s="29">
        <f t="shared" si="2"/>
        <v>56468</v>
      </c>
    </row>
    <row r="11" spans="1:8" x14ac:dyDescent="0.3">
      <c r="A11" s="28" t="s">
        <v>59</v>
      </c>
      <c r="B11" s="27">
        <v>80250</v>
      </c>
      <c r="C11" s="14"/>
      <c r="F11" s="27" t="str">
        <f t="shared" si="0"/>
        <v>Jul</v>
      </c>
      <c r="G11" s="29">
        <f t="shared" si="1"/>
        <v>46008</v>
      </c>
      <c r="H11" s="29">
        <f t="shared" si="2"/>
        <v>46008</v>
      </c>
    </row>
    <row r="12" spans="1:8" x14ac:dyDescent="0.3">
      <c r="A12" s="28" t="s">
        <v>60</v>
      </c>
      <c r="B12" s="27">
        <v>8270</v>
      </c>
      <c r="C12" s="14"/>
      <c r="F12" s="27" t="str">
        <f t="shared" si="0"/>
        <v>Aug</v>
      </c>
      <c r="G12" s="29">
        <f t="shared" si="1"/>
        <v>80250</v>
      </c>
      <c r="H12" s="29">
        <f t="shared" si="2"/>
        <v>80250</v>
      </c>
    </row>
    <row r="13" spans="1:8" x14ac:dyDescent="0.3">
      <c r="A13" s="28" t="s">
        <v>62</v>
      </c>
      <c r="B13" s="27">
        <v>29750</v>
      </c>
      <c r="C13" s="14"/>
      <c r="F13" s="27" t="str">
        <f t="shared" si="0"/>
        <v>Sep</v>
      </c>
      <c r="G13" s="29">
        <f t="shared" si="1"/>
        <v>8270</v>
      </c>
      <c r="H13" s="29">
        <f t="shared" si="2"/>
        <v>8270</v>
      </c>
    </row>
    <row r="14" spans="1:8" x14ac:dyDescent="0.3">
      <c r="A14" s="28" t="s">
        <v>63</v>
      </c>
      <c r="B14" s="27">
        <v>39490</v>
      </c>
      <c r="C14" s="14"/>
      <c r="F14" s="27" t="str">
        <f t="shared" si="0"/>
        <v>Oct</v>
      </c>
      <c r="G14" s="29">
        <f t="shared" si="1"/>
        <v>29750</v>
      </c>
      <c r="H14" s="29">
        <f t="shared" si="2"/>
        <v>29750</v>
      </c>
    </row>
    <row r="15" spans="1:8" x14ac:dyDescent="0.3">
      <c r="A15" s="28" t="s">
        <v>64</v>
      </c>
      <c r="B15" s="27">
        <v>5508</v>
      </c>
      <c r="C15" s="14"/>
      <c r="F15" s="27" t="str">
        <f t="shared" si="0"/>
        <v>Nov</v>
      </c>
      <c r="G15" s="29">
        <f t="shared" si="1"/>
        <v>39490</v>
      </c>
      <c r="H15" s="29">
        <f t="shared" si="2"/>
        <v>39490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48EB0-3BE6-4E50-BE3C-717F04D7DCE0}">
  <sheetPr codeName="Sheet3"/>
  <dimension ref="A3:K11"/>
  <sheetViews>
    <sheetView workbookViewId="0">
      <selection activeCell="J3" sqref="J3"/>
    </sheetView>
  </sheetViews>
  <sheetFormatPr defaultRowHeight="14.4" x14ac:dyDescent="0.3"/>
  <cols>
    <col min="1" max="1" width="12.5546875" bestFit="1" customWidth="1"/>
    <col min="2" max="2" width="11.33203125" bestFit="1" customWidth="1"/>
    <col min="3" max="3" width="13.109375" customWidth="1"/>
    <col min="6" max="6" width="13.33203125" customWidth="1"/>
    <col min="7" max="7" width="13.88671875" customWidth="1"/>
    <col min="8" max="8" width="11.5546875" customWidth="1"/>
  </cols>
  <sheetData>
    <row r="3" spans="1:11" x14ac:dyDescent="0.3">
      <c r="A3" s="12" t="s">
        <v>50</v>
      </c>
      <c r="B3" t="s">
        <v>71</v>
      </c>
      <c r="F3" s="31" t="str">
        <f>A3</f>
        <v>Row Labels</v>
      </c>
      <c r="G3" s="31" t="str">
        <f>B3</f>
        <v>PURCHASED</v>
      </c>
      <c r="H3" s="31" t="s">
        <v>72</v>
      </c>
    </row>
    <row r="4" spans="1:11" x14ac:dyDescent="0.3">
      <c r="A4" s="13" t="s">
        <v>52</v>
      </c>
      <c r="B4" s="14">
        <v>351088</v>
      </c>
      <c r="F4" s="27" t="str">
        <f t="shared" ref="F4" si="0">A4</f>
        <v>2022</v>
      </c>
      <c r="G4" s="32">
        <f>(B4/GETPIVOTDATA("Savings",$A$3))*100%</f>
        <v>0.82543294979522164</v>
      </c>
      <c r="H4" s="33">
        <f>100%-G4</f>
        <v>0.17456705020477836</v>
      </c>
      <c r="K4" s="14"/>
    </row>
    <row r="5" spans="1:11" x14ac:dyDescent="0.3">
      <c r="A5" s="13" t="s">
        <v>65</v>
      </c>
      <c r="B5" s="14">
        <v>74250</v>
      </c>
      <c r="K5" s="16"/>
    </row>
    <row r="6" spans="1:11" x14ac:dyDescent="0.3">
      <c r="A6" s="13" t="s">
        <v>51</v>
      </c>
      <c r="B6">
        <v>425338</v>
      </c>
    </row>
    <row r="7" spans="1:11" x14ac:dyDescent="0.3">
      <c r="F7" s="31" t="str">
        <f>A3</f>
        <v>Row Labels</v>
      </c>
      <c r="G7" s="31" t="str">
        <f>B3</f>
        <v>PURCHASED</v>
      </c>
      <c r="H7" s="31" t="s">
        <v>72</v>
      </c>
    </row>
    <row r="8" spans="1:11" x14ac:dyDescent="0.3">
      <c r="F8" s="27" t="str">
        <f>A5</f>
        <v>2023</v>
      </c>
      <c r="G8" s="32">
        <f>(B5/GETPIVOTDATA("Savings",$A$3))*100%</f>
        <v>0.17456705020477831</v>
      </c>
      <c r="H8" s="33">
        <f>100%-G8</f>
        <v>0.82543294979522175</v>
      </c>
    </row>
    <row r="9" spans="1:11" x14ac:dyDescent="0.3">
      <c r="B9" s="27" t="str">
        <f>A3</f>
        <v>Row Labels</v>
      </c>
      <c r="C9" s="27" t="str">
        <f>B3</f>
        <v>PURCHASED</v>
      </c>
    </row>
    <row r="10" spans="1:11" x14ac:dyDescent="0.3">
      <c r="B10" s="27" t="str">
        <f t="shared" ref="B10:C10" si="1">A4</f>
        <v>2022</v>
      </c>
      <c r="C10" s="34">
        <f t="shared" si="1"/>
        <v>351088</v>
      </c>
    </row>
    <row r="11" spans="1:11" x14ac:dyDescent="0.3">
      <c r="B11" s="27" t="str">
        <f t="shared" ref="B11:C11" si="2">A5</f>
        <v>2023</v>
      </c>
      <c r="C11" s="34">
        <f t="shared" si="2"/>
        <v>74250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AFE8A-AABE-4E3B-BCEB-FE9F480798D2}">
  <sheetPr codeName="Sheet4"/>
  <dimension ref="A3:K18"/>
  <sheetViews>
    <sheetView workbookViewId="0">
      <selection activeCell="N3" sqref="N3"/>
    </sheetView>
  </sheetViews>
  <sheetFormatPr defaultRowHeight="14.4" x14ac:dyDescent="0.3"/>
  <cols>
    <col min="1" max="1" width="12.5546875" bestFit="1" customWidth="1"/>
    <col min="2" max="2" width="13.88671875" bestFit="1" customWidth="1"/>
    <col min="3" max="3" width="13.88671875" customWidth="1"/>
    <col min="5" max="5" width="13" customWidth="1"/>
    <col min="6" max="6" width="12.6640625" customWidth="1"/>
    <col min="7" max="7" width="12.77734375" bestFit="1" customWidth="1"/>
    <col min="10" max="10" width="14.77734375" customWidth="1"/>
    <col min="11" max="11" width="16.5546875" customWidth="1"/>
    <col min="12" max="12" width="8.88671875" customWidth="1"/>
  </cols>
  <sheetData>
    <row r="3" spans="1:11" x14ac:dyDescent="0.3">
      <c r="A3" s="26" t="s">
        <v>50</v>
      </c>
      <c r="B3" s="27" t="s">
        <v>70</v>
      </c>
      <c r="D3" s="30" t="s">
        <v>91</v>
      </c>
      <c r="E3" s="30" t="str">
        <f t="shared" ref="E3:E15" si="0">A3</f>
        <v>Row Labels</v>
      </c>
      <c r="F3" s="30" t="str">
        <f t="shared" ref="F3:F15" si="1">B3</f>
        <v>Sum of Savings</v>
      </c>
      <c r="G3" s="30" t="s">
        <v>92</v>
      </c>
    </row>
    <row r="4" spans="1:11" x14ac:dyDescent="0.3">
      <c r="A4" s="28" t="s">
        <v>67</v>
      </c>
      <c r="B4" s="29">
        <v>30600</v>
      </c>
      <c r="D4" s="35"/>
      <c r="E4" s="35" t="str">
        <f t="shared" si="0"/>
        <v>Jan</v>
      </c>
      <c r="F4" s="36">
        <f t="shared" si="1"/>
        <v>30600</v>
      </c>
      <c r="G4" s="35"/>
      <c r="I4" s="31" t="s">
        <v>73</v>
      </c>
      <c r="J4" s="31" t="s">
        <v>74</v>
      </c>
      <c r="K4" s="31" t="s">
        <v>75</v>
      </c>
    </row>
    <row r="5" spans="1:11" x14ac:dyDescent="0.3">
      <c r="A5" s="28" t="s">
        <v>68</v>
      </c>
      <c r="B5" s="27">
        <v>2250</v>
      </c>
      <c r="D5" s="35"/>
      <c r="E5" s="35" t="str">
        <f t="shared" si="0"/>
        <v>Feb</v>
      </c>
      <c r="F5" s="36">
        <f t="shared" si="1"/>
        <v>2250</v>
      </c>
      <c r="G5" s="35"/>
      <c r="I5" s="27" t="s">
        <v>66</v>
      </c>
      <c r="J5" s="34">
        <f>G6</f>
        <v>74250</v>
      </c>
      <c r="K5" s="39">
        <f>J5/$J$9</f>
        <v>0.17456705020477831</v>
      </c>
    </row>
    <row r="6" spans="1:11" x14ac:dyDescent="0.3">
      <c r="A6" s="28" t="s">
        <v>69</v>
      </c>
      <c r="B6" s="27">
        <v>41400</v>
      </c>
      <c r="D6" s="35">
        <v>1</v>
      </c>
      <c r="E6" s="35" t="str">
        <f t="shared" si="0"/>
        <v>Mar</v>
      </c>
      <c r="F6" s="36">
        <f t="shared" si="1"/>
        <v>41400</v>
      </c>
      <c r="G6" s="37">
        <f>SUM(F4:F6)</f>
        <v>74250</v>
      </c>
      <c r="I6" s="27" t="s">
        <v>53</v>
      </c>
      <c r="J6" s="34">
        <f>G9</f>
        <v>141812</v>
      </c>
      <c r="K6" s="39">
        <f t="shared" ref="K6:K8" si="2">J6/$J$9</f>
        <v>0.33341013499851885</v>
      </c>
    </row>
    <row r="7" spans="1:11" x14ac:dyDescent="0.3">
      <c r="A7" s="28" t="s">
        <v>54</v>
      </c>
      <c r="B7" s="27">
        <v>73244</v>
      </c>
      <c r="D7" s="35"/>
      <c r="E7" s="35" t="str">
        <f t="shared" si="0"/>
        <v>Apr</v>
      </c>
      <c r="F7" s="36">
        <f t="shared" si="1"/>
        <v>73244</v>
      </c>
      <c r="G7" s="37"/>
      <c r="I7" s="27" t="s">
        <v>57</v>
      </c>
      <c r="J7" s="34">
        <f>G12</f>
        <v>134528</v>
      </c>
      <c r="K7" s="39">
        <f t="shared" si="2"/>
        <v>0.31628493104307631</v>
      </c>
    </row>
    <row r="8" spans="1:11" x14ac:dyDescent="0.3">
      <c r="A8" s="28" t="s">
        <v>55</v>
      </c>
      <c r="B8" s="27">
        <v>12100</v>
      </c>
      <c r="D8" s="35"/>
      <c r="E8" s="35" t="str">
        <f t="shared" si="0"/>
        <v>May</v>
      </c>
      <c r="F8" s="36">
        <f t="shared" si="1"/>
        <v>12100</v>
      </c>
      <c r="G8" s="37"/>
      <c r="I8" s="27" t="s">
        <v>61</v>
      </c>
      <c r="J8" s="34">
        <f>G15</f>
        <v>74748</v>
      </c>
      <c r="K8" s="39">
        <f t="shared" si="2"/>
        <v>0.17573788375362653</v>
      </c>
    </row>
    <row r="9" spans="1:11" x14ac:dyDescent="0.3">
      <c r="A9" s="28" t="s">
        <v>56</v>
      </c>
      <c r="B9" s="27">
        <v>56468</v>
      </c>
      <c r="D9" s="35">
        <v>2</v>
      </c>
      <c r="E9" s="35" t="str">
        <f t="shared" si="0"/>
        <v>Jun</v>
      </c>
      <c r="F9" s="36">
        <f t="shared" si="1"/>
        <v>56468</v>
      </c>
      <c r="G9" s="37">
        <f>SUM(F7:F9)</f>
        <v>141812</v>
      </c>
      <c r="I9" s="40" t="s">
        <v>76</v>
      </c>
      <c r="J9" s="41">
        <f>SUM(J5:J8)</f>
        <v>425338</v>
      </c>
      <c r="K9" s="27"/>
    </row>
    <row r="10" spans="1:11" x14ac:dyDescent="0.3">
      <c r="A10" s="28" t="s">
        <v>58</v>
      </c>
      <c r="B10" s="27">
        <v>46008</v>
      </c>
      <c r="D10" s="35"/>
      <c r="E10" s="35" t="str">
        <f t="shared" si="0"/>
        <v>Jul</v>
      </c>
      <c r="F10" s="36">
        <f t="shared" si="1"/>
        <v>46008</v>
      </c>
      <c r="G10" s="37"/>
    </row>
    <row r="11" spans="1:11" x14ac:dyDescent="0.3">
      <c r="A11" s="28" t="s">
        <v>59</v>
      </c>
      <c r="B11" s="27">
        <v>80250</v>
      </c>
      <c r="D11" s="35"/>
      <c r="E11" s="35" t="str">
        <f t="shared" si="0"/>
        <v>Aug</v>
      </c>
      <c r="F11" s="36">
        <f t="shared" si="1"/>
        <v>80250</v>
      </c>
      <c r="G11" s="37"/>
    </row>
    <row r="12" spans="1:11" x14ac:dyDescent="0.3">
      <c r="A12" s="28" t="s">
        <v>60</v>
      </c>
      <c r="B12" s="27">
        <v>8270</v>
      </c>
      <c r="D12" s="35">
        <v>3</v>
      </c>
      <c r="E12" s="35" t="str">
        <f t="shared" si="0"/>
        <v>Sep</v>
      </c>
      <c r="F12" s="36">
        <f t="shared" si="1"/>
        <v>8270</v>
      </c>
      <c r="G12" s="37">
        <f>SUM(F10:F12)</f>
        <v>134528</v>
      </c>
      <c r="I12" s="31" t="str">
        <f>I4</f>
        <v>Qrt</v>
      </c>
      <c r="J12" s="31" t="str">
        <f>K4</f>
        <v>%Purchased</v>
      </c>
      <c r="K12" s="38" t="s">
        <v>77</v>
      </c>
    </row>
    <row r="13" spans="1:11" x14ac:dyDescent="0.3">
      <c r="A13" s="28" t="s">
        <v>62</v>
      </c>
      <c r="B13" s="27">
        <v>29750</v>
      </c>
      <c r="D13" s="35"/>
      <c r="E13" s="35" t="str">
        <f t="shared" si="0"/>
        <v>Oct</v>
      </c>
      <c r="F13" s="36">
        <f t="shared" si="1"/>
        <v>29750</v>
      </c>
      <c r="G13" s="37"/>
      <c r="I13" s="27" t="str">
        <f t="shared" ref="I13:I16" si="3">I5</f>
        <v>Qtr1</v>
      </c>
      <c r="J13" s="39">
        <f t="shared" ref="J13:J16" si="4">K5</f>
        <v>0.17456705020477831</v>
      </c>
      <c r="K13" s="39">
        <f>100%-J13</f>
        <v>0.82543294979522175</v>
      </c>
    </row>
    <row r="14" spans="1:11" x14ac:dyDescent="0.3">
      <c r="A14" s="28" t="s">
        <v>63</v>
      </c>
      <c r="B14" s="27">
        <v>39490</v>
      </c>
      <c r="D14" s="35"/>
      <c r="E14" s="35" t="str">
        <f t="shared" si="0"/>
        <v>Nov</v>
      </c>
      <c r="F14" s="36">
        <f t="shared" si="1"/>
        <v>39490</v>
      </c>
      <c r="G14" s="37"/>
      <c r="I14" s="27" t="str">
        <f t="shared" si="3"/>
        <v>Qtr2</v>
      </c>
      <c r="J14" s="39">
        <f t="shared" si="4"/>
        <v>0.33341013499851885</v>
      </c>
      <c r="K14" s="39">
        <f t="shared" ref="K14:K16" si="5">100%-J14</f>
        <v>0.66658986500148121</v>
      </c>
    </row>
    <row r="15" spans="1:11" x14ac:dyDescent="0.3">
      <c r="A15" s="28" t="s">
        <v>64</v>
      </c>
      <c r="B15" s="27">
        <v>5508</v>
      </c>
      <c r="D15" s="35">
        <v>4</v>
      </c>
      <c r="E15" s="35" t="str">
        <f t="shared" si="0"/>
        <v>Dec</v>
      </c>
      <c r="F15" s="36">
        <f t="shared" si="1"/>
        <v>5508</v>
      </c>
      <c r="G15" s="37">
        <f>SUM(F13:F150)</f>
        <v>74748</v>
      </c>
      <c r="I15" s="27" t="str">
        <f t="shared" si="3"/>
        <v>Qtr3</v>
      </c>
      <c r="J15" s="39">
        <f t="shared" si="4"/>
        <v>0.31628493104307631</v>
      </c>
      <c r="K15" s="39">
        <f t="shared" si="5"/>
        <v>0.68371506895692369</v>
      </c>
    </row>
    <row r="16" spans="1:11" x14ac:dyDescent="0.3">
      <c r="A16" s="28" t="s">
        <v>90</v>
      </c>
      <c r="B16" s="29">
        <f>SUM(B4:B15)</f>
        <v>425338</v>
      </c>
      <c r="I16" s="27" t="str">
        <f t="shared" si="3"/>
        <v>Qtr4</v>
      </c>
      <c r="J16" s="39">
        <f t="shared" si="4"/>
        <v>0.17573788375362653</v>
      </c>
      <c r="K16" s="39">
        <f t="shared" si="5"/>
        <v>0.82426211624637347</v>
      </c>
    </row>
    <row r="18" spans="5:6" x14ac:dyDescent="0.3">
      <c r="E18" s="14"/>
      <c r="F18" s="14"/>
    </row>
  </sheetData>
  <phoneticPr fontId="6" type="noConversion"/>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E9856-325D-4DA4-A231-821F66493A06}">
  <sheetPr codeName="Sheet6"/>
  <dimension ref="A3:L16"/>
  <sheetViews>
    <sheetView workbookViewId="0">
      <selection activeCell="J4" sqref="J4"/>
    </sheetView>
  </sheetViews>
  <sheetFormatPr defaultRowHeight="14.4" x14ac:dyDescent="0.3"/>
  <cols>
    <col min="1" max="1" width="12.5546875" bestFit="1" customWidth="1"/>
    <col min="2" max="2" width="15.33203125" bestFit="1" customWidth="1"/>
    <col min="4" max="4" width="11.33203125" customWidth="1"/>
    <col min="5" max="5" width="20" customWidth="1"/>
    <col min="6" max="6" width="10" customWidth="1"/>
    <col min="12" max="12" width="10" bestFit="1" customWidth="1"/>
  </cols>
  <sheetData>
    <row r="3" spans="1:12" x14ac:dyDescent="0.3">
      <c r="A3" s="26" t="s">
        <v>50</v>
      </c>
      <c r="B3" s="27" t="s">
        <v>78</v>
      </c>
      <c r="D3" s="30" t="str">
        <f>A3</f>
        <v>Row Labels</v>
      </c>
      <c r="E3" s="30" t="str">
        <f>B3</f>
        <v xml:space="preserve">Quotation Value </v>
      </c>
      <c r="F3" s="30" t="s">
        <v>84</v>
      </c>
    </row>
    <row r="4" spans="1:12" x14ac:dyDescent="0.3">
      <c r="A4" s="28" t="s">
        <v>67</v>
      </c>
      <c r="B4" s="29">
        <v>720500</v>
      </c>
      <c r="D4" s="35" t="str">
        <f t="shared" ref="D4:D15" si="0">A4</f>
        <v>Jan</v>
      </c>
      <c r="E4" s="36">
        <f t="shared" ref="E4:E16" si="1">B4</f>
        <v>720500</v>
      </c>
      <c r="F4" s="42">
        <f>(E4/$E$16)</f>
        <v>0.10332658543566962</v>
      </c>
    </row>
    <row r="5" spans="1:12" x14ac:dyDescent="0.3">
      <c r="A5" s="28" t="s">
        <v>68</v>
      </c>
      <c r="B5" s="53">
        <v>18000</v>
      </c>
      <c r="D5" s="35" t="str">
        <f t="shared" si="0"/>
        <v>Feb</v>
      </c>
      <c r="E5" s="36">
        <f t="shared" si="1"/>
        <v>18000</v>
      </c>
      <c r="F5" s="42">
        <f t="shared" ref="F5:F16" si="2">(E5/$E$16)</f>
        <v>2.5813720164358823E-3</v>
      </c>
    </row>
    <row r="6" spans="1:12" x14ac:dyDescent="0.3">
      <c r="A6" s="28" t="s">
        <v>69</v>
      </c>
      <c r="B6" s="53">
        <v>616000</v>
      </c>
      <c r="D6" s="35" t="str">
        <f t="shared" si="0"/>
        <v>Mar</v>
      </c>
      <c r="E6" s="36">
        <f t="shared" si="1"/>
        <v>616000</v>
      </c>
      <c r="F6" s="42">
        <f t="shared" si="2"/>
        <v>8.8340286784694647E-2</v>
      </c>
    </row>
    <row r="7" spans="1:12" x14ac:dyDescent="0.3">
      <c r="A7" s="28" t="s">
        <v>54</v>
      </c>
      <c r="B7" s="53">
        <v>1087144</v>
      </c>
      <c r="D7" s="35" t="str">
        <f t="shared" si="0"/>
        <v>Apr</v>
      </c>
      <c r="E7" s="36">
        <f t="shared" si="1"/>
        <v>1087144</v>
      </c>
      <c r="F7" s="42">
        <f t="shared" si="2"/>
        <v>0.15590683885756507</v>
      </c>
      <c r="L7" s="15"/>
    </row>
    <row r="8" spans="1:12" x14ac:dyDescent="0.3">
      <c r="A8" s="28" t="s">
        <v>55</v>
      </c>
      <c r="B8" s="53">
        <v>294600</v>
      </c>
      <c r="D8" s="35" t="str">
        <f t="shared" si="0"/>
        <v>May</v>
      </c>
      <c r="E8" s="36">
        <f t="shared" si="1"/>
        <v>294600</v>
      </c>
      <c r="F8" s="42">
        <f t="shared" si="2"/>
        <v>4.2248455335667276E-2</v>
      </c>
    </row>
    <row r="9" spans="1:12" x14ac:dyDescent="0.3">
      <c r="A9" s="28" t="s">
        <v>56</v>
      </c>
      <c r="B9" s="53">
        <v>906568</v>
      </c>
      <c r="D9" s="35" t="str">
        <f t="shared" si="0"/>
        <v>Jun</v>
      </c>
      <c r="E9" s="36">
        <f t="shared" si="1"/>
        <v>906568</v>
      </c>
      <c r="F9" s="42">
        <f t="shared" si="2"/>
        <v>0.13001051478868028</v>
      </c>
    </row>
    <row r="10" spans="1:12" x14ac:dyDescent="0.3">
      <c r="A10" s="28" t="s">
        <v>58</v>
      </c>
      <c r="B10" s="53">
        <v>654112</v>
      </c>
      <c r="D10" s="35" t="str">
        <f t="shared" si="0"/>
        <v>Jul</v>
      </c>
      <c r="E10" s="36">
        <f t="shared" si="1"/>
        <v>654112</v>
      </c>
      <c r="F10" s="42">
        <f t="shared" si="2"/>
        <v>9.3805911800828215E-2</v>
      </c>
      <c r="H10" s="14"/>
    </row>
    <row r="11" spans="1:12" x14ac:dyDescent="0.3">
      <c r="A11" s="28" t="s">
        <v>59</v>
      </c>
      <c r="B11" s="53">
        <v>1096250</v>
      </c>
      <c r="D11" s="35" t="str">
        <f t="shared" si="0"/>
        <v>Aug</v>
      </c>
      <c r="E11" s="36">
        <f t="shared" si="1"/>
        <v>1096250</v>
      </c>
      <c r="F11" s="42">
        <f t="shared" si="2"/>
        <v>0.15721272627876867</v>
      </c>
      <c r="G11" s="17"/>
    </row>
    <row r="12" spans="1:12" x14ac:dyDescent="0.3">
      <c r="A12" s="28" t="s">
        <v>60</v>
      </c>
      <c r="B12" s="53">
        <v>209750</v>
      </c>
      <c r="D12" s="35" t="str">
        <f t="shared" si="0"/>
        <v>Sep</v>
      </c>
      <c r="E12" s="36">
        <f t="shared" si="1"/>
        <v>209750</v>
      </c>
      <c r="F12" s="42">
        <f t="shared" si="2"/>
        <v>3.0080154469301464E-2</v>
      </c>
    </row>
    <row r="13" spans="1:12" x14ac:dyDescent="0.3">
      <c r="A13" s="28" t="s">
        <v>62</v>
      </c>
      <c r="B13" s="53">
        <v>485750</v>
      </c>
      <c r="D13" s="35" t="str">
        <f t="shared" si="0"/>
        <v>Oct</v>
      </c>
      <c r="E13" s="36">
        <f t="shared" si="1"/>
        <v>485750</v>
      </c>
      <c r="F13" s="42">
        <f t="shared" si="2"/>
        <v>6.9661192054651655E-2</v>
      </c>
    </row>
    <row r="14" spans="1:12" x14ac:dyDescent="0.3">
      <c r="A14" s="28" t="s">
        <v>63</v>
      </c>
      <c r="B14" s="53">
        <v>800750</v>
      </c>
      <c r="D14" s="35" t="str">
        <f t="shared" si="0"/>
        <v>Nov</v>
      </c>
      <c r="E14" s="36">
        <f t="shared" si="1"/>
        <v>800750</v>
      </c>
      <c r="F14" s="42">
        <f t="shared" si="2"/>
        <v>0.1148352023422796</v>
      </c>
    </row>
    <row r="15" spans="1:12" x14ac:dyDescent="0.3">
      <c r="A15" s="28" t="s">
        <v>64</v>
      </c>
      <c r="B15" s="53">
        <v>83612</v>
      </c>
      <c r="D15" s="35" t="str">
        <f t="shared" si="0"/>
        <v>Dec</v>
      </c>
      <c r="E15" s="36">
        <f t="shared" si="1"/>
        <v>83612</v>
      </c>
      <c r="F15" s="42">
        <f t="shared" si="2"/>
        <v>1.1990759835457611E-2</v>
      </c>
    </row>
    <row r="16" spans="1:12" x14ac:dyDescent="0.3">
      <c r="A16" s="28" t="s">
        <v>90</v>
      </c>
      <c r="B16" s="29">
        <f>SUM(B4:B15)</f>
        <v>6973036</v>
      </c>
      <c r="D16" s="43" t="str">
        <f>A16</f>
        <v>total</v>
      </c>
      <c r="E16" s="44">
        <f t="shared" si="1"/>
        <v>6973036</v>
      </c>
      <c r="F16" s="45">
        <f t="shared" si="2"/>
        <v>1</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39131-09E7-4B08-BCD5-BB7E4BF0DB62}">
  <sheetPr codeName="Sheet7"/>
  <dimension ref="A3:I16"/>
  <sheetViews>
    <sheetView workbookViewId="0">
      <selection activeCell="I9" sqref="I9"/>
    </sheetView>
  </sheetViews>
  <sheetFormatPr defaultRowHeight="14.4" x14ac:dyDescent="0.3"/>
  <cols>
    <col min="1" max="1" width="12.5546875" bestFit="1" customWidth="1"/>
    <col min="2" max="2" width="11.21875" bestFit="1" customWidth="1"/>
    <col min="4" max="4" width="10.88671875" customWidth="1"/>
    <col min="5" max="5" width="14.109375" customWidth="1"/>
  </cols>
  <sheetData>
    <row r="3" spans="1:9" x14ac:dyDescent="0.3">
      <c r="A3" s="26" t="s">
        <v>50</v>
      </c>
      <c r="B3" s="27" t="s">
        <v>79</v>
      </c>
      <c r="D3" s="30" t="str">
        <f>A3</f>
        <v>Row Labels</v>
      </c>
      <c r="E3" s="30" t="str">
        <f>B3</f>
        <v>PO Value</v>
      </c>
    </row>
    <row r="4" spans="1:9" x14ac:dyDescent="0.3">
      <c r="A4" s="28" t="s">
        <v>67</v>
      </c>
      <c r="B4" s="29">
        <v>689900</v>
      </c>
      <c r="D4" s="27" t="str">
        <f t="shared" ref="D4:D16" si="0">A4</f>
        <v>Jan</v>
      </c>
      <c r="E4" s="29">
        <f t="shared" ref="E4:E16" si="1">B4</f>
        <v>689900</v>
      </c>
    </row>
    <row r="5" spans="1:9" x14ac:dyDescent="0.3">
      <c r="A5" s="28" t="s">
        <v>68</v>
      </c>
      <c r="B5" s="29">
        <v>15750</v>
      </c>
      <c r="D5" s="27" t="str">
        <f t="shared" si="0"/>
        <v>Feb</v>
      </c>
      <c r="E5" s="29">
        <f t="shared" si="1"/>
        <v>15750</v>
      </c>
    </row>
    <row r="6" spans="1:9" x14ac:dyDescent="0.3">
      <c r="A6" s="28" t="s">
        <v>69</v>
      </c>
      <c r="B6" s="29">
        <v>574600</v>
      </c>
      <c r="D6" s="27" t="str">
        <f t="shared" si="0"/>
        <v>Mar</v>
      </c>
      <c r="E6" s="29">
        <f t="shared" si="1"/>
        <v>574600</v>
      </c>
    </row>
    <row r="7" spans="1:9" x14ac:dyDescent="0.3">
      <c r="A7" s="28" t="s">
        <v>54</v>
      </c>
      <c r="B7" s="29">
        <v>1013900</v>
      </c>
      <c r="D7" s="27" t="str">
        <f t="shared" si="0"/>
        <v>Apr</v>
      </c>
      <c r="E7" s="29">
        <f t="shared" si="1"/>
        <v>1013900</v>
      </c>
    </row>
    <row r="8" spans="1:9" x14ac:dyDescent="0.3">
      <c r="A8" s="28" t="s">
        <v>55</v>
      </c>
      <c r="B8" s="29">
        <v>282500</v>
      </c>
      <c r="D8" s="27" t="str">
        <f t="shared" si="0"/>
        <v>May</v>
      </c>
      <c r="E8" s="29">
        <f t="shared" si="1"/>
        <v>282500</v>
      </c>
      <c r="I8" s="14"/>
    </row>
    <row r="9" spans="1:9" x14ac:dyDescent="0.3">
      <c r="A9" s="28" t="s">
        <v>56</v>
      </c>
      <c r="B9" s="29">
        <v>850100</v>
      </c>
      <c r="D9" s="27" t="str">
        <f t="shared" si="0"/>
        <v>Jun</v>
      </c>
      <c r="E9" s="29">
        <f t="shared" si="1"/>
        <v>850100</v>
      </c>
    </row>
    <row r="10" spans="1:9" x14ac:dyDescent="0.3">
      <c r="A10" s="28" t="s">
        <v>58</v>
      </c>
      <c r="B10" s="29">
        <v>608104</v>
      </c>
      <c r="D10" s="27" t="str">
        <f t="shared" si="0"/>
        <v>Jul</v>
      </c>
      <c r="E10" s="29">
        <f t="shared" si="1"/>
        <v>608104</v>
      </c>
    </row>
    <row r="11" spans="1:9" x14ac:dyDescent="0.3">
      <c r="A11" s="28" t="s">
        <v>59</v>
      </c>
      <c r="B11" s="29">
        <v>1016000</v>
      </c>
      <c r="D11" s="27" t="str">
        <f t="shared" si="0"/>
        <v>Aug</v>
      </c>
      <c r="E11" s="29">
        <f t="shared" si="1"/>
        <v>1016000</v>
      </c>
    </row>
    <row r="12" spans="1:9" x14ac:dyDescent="0.3">
      <c r="A12" s="28" t="s">
        <v>60</v>
      </c>
      <c r="B12" s="29">
        <v>201480</v>
      </c>
      <c r="D12" s="27" t="str">
        <f t="shared" si="0"/>
        <v>Sep</v>
      </c>
      <c r="E12" s="29">
        <f t="shared" si="1"/>
        <v>201480</v>
      </c>
    </row>
    <row r="13" spans="1:9" x14ac:dyDescent="0.3">
      <c r="A13" s="28" t="s">
        <v>62</v>
      </c>
      <c r="B13" s="29">
        <v>456000</v>
      </c>
      <c r="D13" s="27" t="str">
        <f t="shared" si="0"/>
        <v>Oct</v>
      </c>
      <c r="E13" s="29">
        <f t="shared" si="1"/>
        <v>456000</v>
      </c>
      <c r="F13" s="14"/>
    </row>
    <row r="14" spans="1:9" x14ac:dyDescent="0.3">
      <c r="A14" s="28" t="s">
        <v>63</v>
      </c>
      <c r="B14" s="29">
        <v>761260</v>
      </c>
      <c r="D14" s="27" t="str">
        <f t="shared" si="0"/>
        <v>Nov</v>
      </c>
      <c r="E14" s="29">
        <f t="shared" si="1"/>
        <v>761260</v>
      </c>
    </row>
    <row r="15" spans="1:9" x14ac:dyDescent="0.3">
      <c r="A15" s="28" t="s">
        <v>64</v>
      </c>
      <c r="B15" s="29">
        <v>78104</v>
      </c>
      <c r="D15" s="27" t="str">
        <f t="shared" si="0"/>
        <v>Dec</v>
      </c>
      <c r="E15" s="29">
        <f t="shared" si="1"/>
        <v>78104</v>
      </c>
    </row>
    <row r="16" spans="1:9" x14ac:dyDescent="0.3">
      <c r="A16" s="28" t="s">
        <v>90</v>
      </c>
      <c r="B16" s="29">
        <f>SUM(B4:B15)</f>
        <v>6547698</v>
      </c>
      <c r="D16" s="46" t="str">
        <f t="shared" si="0"/>
        <v>total</v>
      </c>
      <c r="E16" s="47">
        <f t="shared" si="1"/>
        <v>6547698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2AD24-EDBD-4F04-B191-CD92DE6AF113}">
  <sheetPr codeName="Sheet8"/>
  <dimension ref="A3:E16"/>
  <sheetViews>
    <sheetView workbookViewId="0">
      <selection activeCell="M9" sqref="M9"/>
    </sheetView>
  </sheetViews>
  <sheetFormatPr defaultRowHeight="14.4" x14ac:dyDescent="0.3"/>
  <cols>
    <col min="1" max="1" width="12.5546875" bestFit="1" customWidth="1"/>
    <col min="2" max="2" width="13.5546875" bestFit="1" customWidth="1"/>
    <col min="4" max="4" width="10" customWidth="1"/>
    <col min="5" max="5" width="12.77734375" customWidth="1"/>
  </cols>
  <sheetData>
    <row r="3" spans="1:5" x14ac:dyDescent="0.3">
      <c r="A3" s="26" t="s">
        <v>50</v>
      </c>
      <c r="B3" s="27" t="s">
        <v>80</v>
      </c>
      <c r="D3" s="31" t="str">
        <f>A3</f>
        <v>Row Labels</v>
      </c>
      <c r="E3" s="31" t="str">
        <f>B3</f>
        <v>Amount Saved</v>
      </c>
    </row>
    <row r="4" spans="1:5" x14ac:dyDescent="0.3">
      <c r="A4" s="28" t="s">
        <v>67</v>
      </c>
      <c r="B4" s="29">
        <v>30600</v>
      </c>
      <c r="D4" s="27" t="str">
        <f t="shared" ref="D4:D16" si="0">A4</f>
        <v>Jan</v>
      </c>
      <c r="E4" s="29">
        <f>B4</f>
        <v>30600</v>
      </c>
    </row>
    <row r="5" spans="1:5" x14ac:dyDescent="0.3">
      <c r="A5" s="28" t="s">
        <v>68</v>
      </c>
      <c r="B5" s="53">
        <v>2250</v>
      </c>
      <c r="D5" s="27" t="str">
        <f t="shared" si="0"/>
        <v>Feb</v>
      </c>
      <c r="E5" s="29">
        <f t="shared" ref="E5:E16" si="1">B5</f>
        <v>2250</v>
      </c>
    </row>
    <row r="6" spans="1:5" x14ac:dyDescent="0.3">
      <c r="A6" s="28" t="s">
        <v>69</v>
      </c>
      <c r="B6" s="53">
        <v>41400</v>
      </c>
      <c r="D6" s="27" t="str">
        <f t="shared" si="0"/>
        <v>Mar</v>
      </c>
      <c r="E6" s="29">
        <f t="shared" si="1"/>
        <v>41400</v>
      </c>
    </row>
    <row r="7" spans="1:5" x14ac:dyDescent="0.3">
      <c r="A7" s="28" t="s">
        <v>54</v>
      </c>
      <c r="B7" s="53">
        <v>73244</v>
      </c>
      <c r="D7" s="27" t="str">
        <f t="shared" si="0"/>
        <v>Apr</v>
      </c>
      <c r="E7" s="29">
        <f t="shared" si="1"/>
        <v>73244</v>
      </c>
    </row>
    <row r="8" spans="1:5" x14ac:dyDescent="0.3">
      <c r="A8" s="28" t="s">
        <v>55</v>
      </c>
      <c r="B8" s="53">
        <v>12100</v>
      </c>
      <c r="D8" s="27" t="str">
        <f t="shared" si="0"/>
        <v>May</v>
      </c>
      <c r="E8" s="29">
        <f t="shared" si="1"/>
        <v>12100</v>
      </c>
    </row>
    <row r="9" spans="1:5" x14ac:dyDescent="0.3">
      <c r="A9" s="28" t="s">
        <v>56</v>
      </c>
      <c r="B9" s="53">
        <v>56468</v>
      </c>
      <c r="D9" s="27" t="str">
        <f t="shared" si="0"/>
        <v>Jun</v>
      </c>
      <c r="E9" s="29">
        <f t="shared" si="1"/>
        <v>56468</v>
      </c>
    </row>
    <row r="10" spans="1:5" x14ac:dyDescent="0.3">
      <c r="A10" s="28" t="s">
        <v>58</v>
      </c>
      <c r="B10" s="53">
        <v>46008</v>
      </c>
      <c r="D10" s="27" t="str">
        <f t="shared" si="0"/>
        <v>Jul</v>
      </c>
      <c r="E10" s="29">
        <f t="shared" si="1"/>
        <v>46008</v>
      </c>
    </row>
    <row r="11" spans="1:5" x14ac:dyDescent="0.3">
      <c r="A11" s="28" t="s">
        <v>59</v>
      </c>
      <c r="B11" s="53">
        <v>80250</v>
      </c>
      <c r="D11" s="27" t="str">
        <f t="shared" si="0"/>
        <v>Aug</v>
      </c>
      <c r="E11" s="29">
        <f t="shared" si="1"/>
        <v>80250</v>
      </c>
    </row>
    <row r="12" spans="1:5" x14ac:dyDescent="0.3">
      <c r="A12" s="28" t="s">
        <v>60</v>
      </c>
      <c r="B12" s="53">
        <v>8270</v>
      </c>
      <c r="D12" s="27" t="str">
        <f t="shared" si="0"/>
        <v>Sep</v>
      </c>
      <c r="E12" s="29">
        <f t="shared" si="1"/>
        <v>8270</v>
      </c>
    </row>
    <row r="13" spans="1:5" x14ac:dyDescent="0.3">
      <c r="A13" s="28" t="s">
        <v>62</v>
      </c>
      <c r="B13" s="53">
        <v>29750</v>
      </c>
      <c r="D13" s="27" t="str">
        <f t="shared" si="0"/>
        <v>Oct</v>
      </c>
      <c r="E13" s="29">
        <f t="shared" si="1"/>
        <v>29750</v>
      </c>
    </row>
    <row r="14" spans="1:5" x14ac:dyDescent="0.3">
      <c r="A14" s="28" t="s">
        <v>63</v>
      </c>
      <c r="B14" s="53">
        <v>39490</v>
      </c>
      <c r="D14" s="27" t="str">
        <f t="shared" si="0"/>
        <v>Nov</v>
      </c>
      <c r="E14" s="29">
        <f t="shared" si="1"/>
        <v>39490</v>
      </c>
    </row>
    <row r="15" spans="1:5" x14ac:dyDescent="0.3">
      <c r="A15" s="28" t="s">
        <v>64</v>
      </c>
      <c r="B15" s="53">
        <v>5508</v>
      </c>
      <c r="D15" s="27" t="str">
        <f t="shared" si="0"/>
        <v>Dec</v>
      </c>
      <c r="E15" s="29">
        <f t="shared" si="1"/>
        <v>5508</v>
      </c>
    </row>
    <row r="16" spans="1:5" x14ac:dyDescent="0.3">
      <c r="A16" s="28" t="s">
        <v>90</v>
      </c>
      <c r="B16" s="29">
        <f>SUM(B4:B15)</f>
        <v>425338</v>
      </c>
      <c r="D16" s="46" t="str">
        <f t="shared" si="0"/>
        <v>total</v>
      </c>
      <c r="E16" s="47">
        <f t="shared" si="1"/>
        <v>425338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3486B-E3B8-41EA-982A-FE629C7BFF4B}">
  <sheetPr codeName="Sheet9"/>
  <dimension ref="A3:O19"/>
  <sheetViews>
    <sheetView topLeftCell="D1" zoomScale="110" workbookViewId="0">
      <selection activeCell="Q10" sqref="Q10"/>
    </sheetView>
  </sheetViews>
  <sheetFormatPr defaultRowHeight="14.4" x14ac:dyDescent="0.3"/>
  <cols>
    <col min="1" max="1" width="15.88671875" bestFit="1" customWidth="1"/>
    <col min="2" max="2" width="19.33203125" bestFit="1" customWidth="1"/>
    <col min="3" max="3" width="17" bestFit="1" customWidth="1"/>
    <col min="5" max="5" width="10.21875" customWidth="1"/>
    <col min="6" max="6" width="17.88671875" customWidth="1"/>
    <col min="7" max="7" width="15.5546875" customWidth="1"/>
    <col min="10" max="10" width="15.44140625" customWidth="1"/>
    <col min="11" max="11" width="13.21875" customWidth="1"/>
  </cols>
  <sheetData>
    <row r="3" spans="1:15" x14ac:dyDescent="0.3">
      <c r="A3" s="26" t="s">
        <v>50</v>
      </c>
      <c r="B3" s="48" t="s">
        <v>86</v>
      </c>
      <c r="E3" s="31" t="str">
        <f>A3</f>
        <v>Row Labels</v>
      </c>
      <c r="F3" s="49" t="str">
        <f>B3</f>
        <v xml:space="preserve"> item pruchase order </v>
      </c>
      <c r="G3" s="49" t="str">
        <f>F3</f>
        <v xml:space="preserve"> item pruchase order </v>
      </c>
      <c r="J3" s="31" t="str">
        <f>E3</f>
        <v>Row Labels</v>
      </c>
      <c r="K3" s="49" t="str">
        <f>G3</f>
        <v xml:space="preserve"> item pruchase order </v>
      </c>
      <c r="L3" s="31" t="s">
        <v>81</v>
      </c>
      <c r="N3" t="s">
        <v>81</v>
      </c>
      <c r="O3" s="25">
        <f>SUM(L4:L6)</f>
        <v>0.3125</v>
      </c>
    </row>
    <row r="4" spans="1:15" x14ac:dyDescent="0.3">
      <c r="A4" s="28" t="s">
        <v>20</v>
      </c>
      <c r="B4" s="53">
        <v>6</v>
      </c>
      <c r="E4" s="27" t="str">
        <f t="shared" ref="E4:E18" si="0">A4</f>
        <v>Memory Card</v>
      </c>
      <c r="F4" s="27">
        <f t="shared" ref="F4:F19" si="1">B4</f>
        <v>6</v>
      </c>
      <c r="G4" s="33">
        <f t="shared" ref="G4:G19" si="2">F4/$F$19</f>
        <v>0.125</v>
      </c>
      <c r="J4" s="27" t="str">
        <f t="shared" ref="J4:J18" si="3">E4</f>
        <v>Memory Card</v>
      </c>
      <c r="K4" s="48">
        <f t="shared" ref="K4:K18" si="4">G4</f>
        <v>0.125</v>
      </c>
      <c r="L4" s="48">
        <f>K4</f>
        <v>0.125</v>
      </c>
      <c r="N4" t="s">
        <v>82</v>
      </c>
      <c r="O4" s="25">
        <f>SUM(K4:K37)</f>
        <v>1</v>
      </c>
    </row>
    <row r="5" spans="1:15" x14ac:dyDescent="0.3">
      <c r="A5" s="28" t="s">
        <v>17</v>
      </c>
      <c r="B5" s="53">
        <v>5</v>
      </c>
      <c r="E5" s="27" t="str">
        <f t="shared" si="0"/>
        <v>Ceiling Fan</v>
      </c>
      <c r="F5" s="27">
        <f t="shared" si="1"/>
        <v>5</v>
      </c>
      <c r="G5" s="33">
        <f t="shared" si="2"/>
        <v>0.10416666666666667</v>
      </c>
      <c r="J5" s="27" t="str">
        <f t="shared" si="3"/>
        <v>Ceiling Fan</v>
      </c>
      <c r="K5" s="48">
        <f t="shared" si="4"/>
        <v>0.10416666666666667</v>
      </c>
      <c r="L5" s="48">
        <f t="shared" ref="L5:L6" si="5">K5</f>
        <v>0.10416666666666667</v>
      </c>
    </row>
    <row r="6" spans="1:15" x14ac:dyDescent="0.3">
      <c r="A6" s="28" t="s">
        <v>21</v>
      </c>
      <c r="B6" s="53">
        <v>4</v>
      </c>
      <c r="E6" s="27" t="str">
        <f t="shared" si="0"/>
        <v>Laptop</v>
      </c>
      <c r="F6" s="27">
        <f t="shared" si="1"/>
        <v>4</v>
      </c>
      <c r="G6" s="33">
        <f t="shared" si="2"/>
        <v>8.3333333333333329E-2</v>
      </c>
      <c r="J6" s="27" t="str">
        <f t="shared" si="3"/>
        <v>Laptop</v>
      </c>
      <c r="K6" s="48">
        <f t="shared" si="4"/>
        <v>8.3333333333333329E-2</v>
      </c>
      <c r="L6" s="48">
        <f t="shared" si="5"/>
        <v>8.3333333333333329E-2</v>
      </c>
    </row>
    <row r="7" spans="1:15" x14ac:dyDescent="0.3">
      <c r="A7" s="28" t="s">
        <v>26</v>
      </c>
      <c r="B7" s="53">
        <v>4</v>
      </c>
      <c r="E7" s="27" t="str">
        <f t="shared" si="0"/>
        <v>Geyser</v>
      </c>
      <c r="F7" s="27">
        <f t="shared" si="1"/>
        <v>4</v>
      </c>
      <c r="G7" s="33">
        <f t="shared" si="2"/>
        <v>8.3333333333333329E-2</v>
      </c>
      <c r="J7" s="27" t="str">
        <f t="shared" si="3"/>
        <v>Geyser</v>
      </c>
      <c r="K7" s="48">
        <f t="shared" si="4"/>
        <v>8.3333333333333329E-2</v>
      </c>
      <c r="L7" s="25"/>
      <c r="N7" t="s">
        <v>83</v>
      </c>
      <c r="O7" s="25">
        <f>O3/O4</f>
        <v>0.3125</v>
      </c>
    </row>
    <row r="8" spans="1:15" x14ac:dyDescent="0.3">
      <c r="A8" s="28" t="s">
        <v>15</v>
      </c>
      <c r="B8" s="53">
        <v>4</v>
      </c>
      <c r="E8" s="27" t="str">
        <f t="shared" si="0"/>
        <v>Water Bottle</v>
      </c>
      <c r="F8" s="27">
        <f t="shared" si="1"/>
        <v>4</v>
      </c>
      <c r="G8" s="33">
        <f t="shared" si="2"/>
        <v>8.3333333333333329E-2</v>
      </c>
      <c r="J8" s="27" t="str">
        <f t="shared" si="3"/>
        <v>Water Bottle</v>
      </c>
      <c r="K8" s="48">
        <f t="shared" si="4"/>
        <v>8.3333333333333329E-2</v>
      </c>
      <c r="L8" s="25"/>
    </row>
    <row r="9" spans="1:15" x14ac:dyDescent="0.3">
      <c r="A9" s="28" t="s">
        <v>14</v>
      </c>
      <c r="B9" s="53">
        <v>4</v>
      </c>
      <c r="E9" s="27" t="str">
        <f t="shared" si="0"/>
        <v>JK Paper</v>
      </c>
      <c r="F9" s="27">
        <f t="shared" si="1"/>
        <v>4</v>
      </c>
      <c r="G9" s="33">
        <f t="shared" si="2"/>
        <v>8.3333333333333329E-2</v>
      </c>
      <c r="J9" s="27" t="str">
        <f t="shared" si="3"/>
        <v>JK Paper</v>
      </c>
      <c r="K9" s="48">
        <f t="shared" si="4"/>
        <v>8.3333333333333329E-2</v>
      </c>
      <c r="L9" s="25"/>
    </row>
    <row r="10" spans="1:15" x14ac:dyDescent="0.3">
      <c r="A10" s="28" t="s">
        <v>16</v>
      </c>
      <c r="B10" s="53">
        <v>4</v>
      </c>
      <c r="E10" s="27" t="str">
        <f t="shared" si="0"/>
        <v>LED Light</v>
      </c>
      <c r="F10" s="27">
        <f t="shared" si="1"/>
        <v>4</v>
      </c>
      <c r="G10" s="33">
        <f t="shared" si="2"/>
        <v>8.3333333333333329E-2</v>
      </c>
      <c r="J10" s="27" t="str">
        <f t="shared" si="3"/>
        <v>LED Light</v>
      </c>
      <c r="K10" s="48">
        <f t="shared" si="4"/>
        <v>8.3333333333333329E-2</v>
      </c>
      <c r="L10" s="25"/>
    </row>
    <row r="11" spans="1:15" x14ac:dyDescent="0.3">
      <c r="A11" s="28" t="s">
        <v>13</v>
      </c>
      <c r="B11" s="53">
        <v>3</v>
      </c>
      <c r="E11" s="27" t="str">
        <f t="shared" si="0"/>
        <v xml:space="preserve">Table </v>
      </c>
      <c r="F11" s="27">
        <f t="shared" si="1"/>
        <v>3</v>
      </c>
      <c r="G11" s="33">
        <f t="shared" si="2"/>
        <v>6.25E-2</v>
      </c>
      <c r="J11" s="27" t="str">
        <f t="shared" si="3"/>
        <v xml:space="preserve">Table </v>
      </c>
      <c r="K11" s="48">
        <f t="shared" si="4"/>
        <v>6.25E-2</v>
      </c>
      <c r="L11" s="25"/>
      <c r="N11" t="str">
        <f>" Top 3 Item Po  "&amp;TEXT(O7,"0%")&amp;"  Value"</f>
        <v xml:space="preserve"> Top 3 Item Po  31%  Value</v>
      </c>
    </row>
    <row r="12" spans="1:15" x14ac:dyDescent="0.3">
      <c r="A12" s="28" t="s">
        <v>18</v>
      </c>
      <c r="B12" s="53">
        <v>3</v>
      </c>
      <c r="E12" s="27" t="str">
        <f t="shared" si="0"/>
        <v>Exhaust Fan</v>
      </c>
      <c r="F12" s="27">
        <f t="shared" si="1"/>
        <v>3</v>
      </c>
      <c r="G12" s="33">
        <f t="shared" si="2"/>
        <v>6.25E-2</v>
      </c>
      <c r="J12" s="27" t="str">
        <f t="shared" si="3"/>
        <v>Exhaust Fan</v>
      </c>
      <c r="K12" s="48">
        <f t="shared" si="4"/>
        <v>6.25E-2</v>
      </c>
      <c r="L12" s="25"/>
    </row>
    <row r="13" spans="1:15" x14ac:dyDescent="0.3">
      <c r="A13" s="28" t="s">
        <v>19</v>
      </c>
      <c r="B13" s="53">
        <v>3</v>
      </c>
      <c r="E13" s="27" t="str">
        <f t="shared" si="0"/>
        <v>Tablet Device</v>
      </c>
      <c r="F13" s="27">
        <f t="shared" si="1"/>
        <v>3</v>
      </c>
      <c r="G13" s="33">
        <f t="shared" si="2"/>
        <v>6.25E-2</v>
      </c>
      <c r="J13" s="27" t="str">
        <f t="shared" si="3"/>
        <v>Tablet Device</v>
      </c>
      <c r="K13" s="48">
        <f t="shared" si="4"/>
        <v>6.25E-2</v>
      </c>
      <c r="L13" s="25"/>
    </row>
    <row r="14" spans="1:15" x14ac:dyDescent="0.3">
      <c r="A14" s="28" t="s">
        <v>25</v>
      </c>
      <c r="B14" s="53">
        <v>3</v>
      </c>
      <c r="E14" s="27" t="str">
        <f t="shared" si="0"/>
        <v>Note Pad</v>
      </c>
      <c r="F14" s="27">
        <f t="shared" si="1"/>
        <v>3</v>
      </c>
      <c r="G14" s="33">
        <f t="shared" si="2"/>
        <v>6.25E-2</v>
      </c>
      <c r="J14" s="27" t="str">
        <f t="shared" si="3"/>
        <v>Note Pad</v>
      </c>
      <c r="K14" s="48">
        <f t="shared" si="4"/>
        <v>6.25E-2</v>
      </c>
      <c r="L14" s="25"/>
    </row>
    <row r="15" spans="1:15" x14ac:dyDescent="0.3">
      <c r="A15" s="28" t="s">
        <v>12</v>
      </c>
      <c r="B15" s="53">
        <v>2</v>
      </c>
      <c r="E15" s="27" t="str">
        <f t="shared" si="0"/>
        <v>Chair</v>
      </c>
      <c r="F15" s="27">
        <f t="shared" si="1"/>
        <v>2</v>
      </c>
      <c r="G15" s="33">
        <f t="shared" si="2"/>
        <v>4.1666666666666664E-2</v>
      </c>
      <c r="J15" s="27" t="str">
        <f t="shared" si="3"/>
        <v>Chair</v>
      </c>
      <c r="K15" s="48">
        <f t="shared" si="4"/>
        <v>4.1666666666666664E-2</v>
      </c>
      <c r="L15" s="25"/>
    </row>
    <row r="16" spans="1:15" x14ac:dyDescent="0.3">
      <c r="A16" s="28" t="s">
        <v>23</v>
      </c>
      <c r="B16" s="53">
        <v>1</v>
      </c>
      <c r="E16" s="27" t="str">
        <f t="shared" si="0"/>
        <v>Vending Machine</v>
      </c>
      <c r="F16" s="27">
        <f t="shared" si="1"/>
        <v>1</v>
      </c>
      <c r="G16" s="33">
        <f t="shared" si="2"/>
        <v>2.0833333333333332E-2</v>
      </c>
      <c r="J16" s="27" t="str">
        <f t="shared" si="3"/>
        <v>Vending Machine</v>
      </c>
      <c r="K16" s="48">
        <f t="shared" si="4"/>
        <v>2.0833333333333332E-2</v>
      </c>
      <c r="L16" s="25"/>
    </row>
    <row r="17" spans="1:12" x14ac:dyDescent="0.3">
      <c r="A17" s="28" t="s">
        <v>24</v>
      </c>
      <c r="B17" s="53">
        <v>1</v>
      </c>
      <c r="E17" s="27" t="str">
        <f t="shared" si="0"/>
        <v>Cloth Dryer stand</v>
      </c>
      <c r="F17" s="27">
        <f t="shared" si="1"/>
        <v>1</v>
      </c>
      <c r="G17" s="33">
        <f t="shared" si="2"/>
        <v>2.0833333333333332E-2</v>
      </c>
      <c r="J17" s="27" t="str">
        <f t="shared" si="3"/>
        <v>Cloth Dryer stand</v>
      </c>
      <c r="K17" s="48">
        <f t="shared" si="4"/>
        <v>2.0833333333333332E-2</v>
      </c>
      <c r="L17" s="25"/>
    </row>
    <row r="18" spans="1:12" x14ac:dyDescent="0.3">
      <c r="A18" s="28" t="s">
        <v>22</v>
      </c>
      <c r="B18" s="53">
        <v>1</v>
      </c>
      <c r="E18" s="27" t="str">
        <f t="shared" si="0"/>
        <v>Pierre Cardin Set</v>
      </c>
      <c r="F18" s="27">
        <f t="shared" si="1"/>
        <v>1</v>
      </c>
      <c r="G18" s="33">
        <f t="shared" si="2"/>
        <v>2.0833333333333332E-2</v>
      </c>
      <c r="J18" s="27" t="str">
        <f t="shared" si="3"/>
        <v>Pierre Cardin Set</v>
      </c>
      <c r="K18" s="48">
        <f t="shared" si="4"/>
        <v>2.0833333333333332E-2</v>
      </c>
      <c r="L18" s="25"/>
    </row>
    <row r="19" spans="1:12" x14ac:dyDescent="0.3">
      <c r="A19" s="28" t="s">
        <v>90</v>
      </c>
      <c r="B19" s="27">
        <f>SUM(B4:B18)</f>
        <v>48</v>
      </c>
      <c r="E19" s="46" t="str">
        <f>A19</f>
        <v>total</v>
      </c>
      <c r="F19" s="46">
        <f t="shared" si="1"/>
        <v>48</v>
      </c>
      <c r="G19" s="50">
        <f t="shared" si="2"/>
        <v>1</v>
      </c>
      <c r="K19" s="25"/>
      <c r="L19" s="25"/>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4AE1B-F512-4578-956E-311EA239815C}">
  <sheetPr codeName="Sheet10"/>
  <dimension ref="A3:F8"/>
  <sheetViews>
    <sheetView zoomScaleNormal="100" workbookViewId="0">
      <selection activeCell="B3" sqref="B3"/>
    </sheetView>
  </sheetViews>
  <sheetFormatPr defaultRowHeight="14.4" x14ac:dyDescent="0.3"/>
  <cols>
    <col min="1" max="1" width="16" bestFit="1" customWidth="1"/>
    <col min="2" max="2" width="18.88671875" bestFit="1" customWidth="1"/>
    <col min="3" max="3" width="21" bestFit="1" customWidth="1"/>
    <col min="5" max="5" width="12.88671875" customWidth="1"/>
    <col min="6" max="6" width="12.77734375" customWidth="1"/>
  </cols>
  <sheetData>
    <row r="3" spans="1:6" x14ac:dyDescent="0.3">
      <c r="A3" s="26" t="s">
        <v>50</v>
      </c>
      <c r="B3" s="34" t="s">
        <v>87</v>
      </c>
      <c r="E3" s="31" t="str">
        <f>A3</f>
        <v>Row Labels</v>
      </c>
      <c r="F3" s="51" t="str">
        <f>B3</f>
        <v>category wise saved</v>
      </c>
    </row>
    <row r="4" spans="1:6" x14ac:dyDescent="0.3">
      <c r="A4" s="28" t="s">
        <v>34</v>
      </c>
      <c r="B4" s="53">
        <v>137500</v>
      </c>
      <c r="E4" s="27" t="str">
        <f t="shared" ref="E4:E8" si="0">A4</f>
        <v>Furniture</v>
      </c>
      <c r="F4" s="27">
        <f t="shared" ref="F4:F8" si="1">B4</f>
        <v>137500</v>
      </c>
    </row>
    <row r="5" spans="1:6" x14ac:dyDescent="0.3">
      <c r="A5" s="28" t="s">
        <v>39</v>
      </c>
      <c r="B5" s="53">
        <v>185000</v>
      </c>
      <c r="E5" s="27" t="str">
        <f t="shared" si="0"/>
        <v>IT Hardware</v>
      </c>
      <c r="F5" s="27">
        <f t="shared" si="1"/>
        <v>185000</v>
      </c>
    </row>
    <row r="6" spans="1:6" x14ac:dyDescent="0.3">
      <c r="A6" s="28" t="s">
        <v>38</v>
      </c>
      <c r="B6" s="53">
        <v>40464</v>
      </c>
      <c r="E6" s="27" t="str">
        <f t="shared" si="0"/>
        <v>MRO</v>
      </c>
      <c r="F6" s="27">
        <f t="shared" si="1"/>
        <v>40464</v>
      </c>
    </row>
    <row r="7" spans="1:6" x14ac:dyDescent="0.3">
      <c r="A7" s="28" t="s">
        <v>40</v>
      </c>
      <c r="B7" s="53">
        <v>26268</v>
      </c>
      <c r="E7" s="27" t="str">
        <f t="shared" si="0"/>
        <v>Office Equipments</v>
      </c>
      <c r="F7" s="27">
        <f t="shared" si="1"/>
        <v>26268</v>
      </c>
    </row>
    <row r="8" spans="1:6" x14ac:dyDescent="0.3">
      <c r="A8" s="28" t="s">
        <v>37</v>
      </c>
      <c r="B8" s="53">
        <v>36106</v>
      </c>
      <c r="E8" s="27" t="str">
        <f t="shared" si="0"/>
        <v>Stationery</v>
      </c>
      <c r="F8" s="27">
        <f t="shared" si="1"/>
        <v>36106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EB47A-99AF-424C-BF51-27EAE468A1F0}">
  <sheetPr codeName="Sheet11"/>
  <dimension ref="A3:E16"/>
  <sheetViews>
    <sheetView workbookViewId="0">
      <selection activeCell="B3" sqref="B3"/>
    </sheetView>
  </sheetViews>
  <sheetFormatPr defaultRowHeight="14.4" x14ac:dyDescent="0.3"/>
  <cols>
    <col min="1" max="1" width="12.5546875" bestFit="1" customWidth="1"/>
    <col min="2" max="2" width="17.21875" bestFit="1" customWidth="1"/>
    <col min="4" max="4" width="10.21875" customWidth="1"/>
    <col min="5" max="5" width="16.5546875" customWidth="1"/>
  </cols>
  <sheetData>
    <row r="3" spans="1:5" x14ac:dyDescent="0.3">
      <c r="A3" s="26" t="s">
        <v>50</v>
      </c>
      <c r="B3" s="27" t="s">
        <v>85</v>
      </c>
      <c r="D3" s="30" t="str">
        <f>A3</f>
        <v>Row Labels</v>
      </c>
      <c r="E3" s="30" t="str">
        <f>B3</f>
        <v>remaining quantity</v>
      </c>
    </row>
    <row r="4" spans="1:5" x14ac:dyDescent="0.3">
      <c r="A4" s="28" t="s">
        <v>67</v>
      </c>
      <c r="B4" s="53">
        <v>220</v>
      </c>
      <c r="D4" s="27" t="str">
        <f t="shared" ref="D4:D16" si="0">A4</f>
        <v>Jan</v>
      </c>
      <c r="E4" s="27">
        <f t="shared" ref="E4:E16" si="1">B4</f>
        <v>220</v>
      </c>
    </row>
    <row r="5" spans="1:5" x14ac:dyDescent="0.3">
      <c r="A5" s="28" t="s">
        <v>68</v>
      </c>
      <c r="B5" s="53">
        <v>5</v>
      </c>
      <c r="D5" s="27" t="str">
        <f t="shared" si="0"/>
        <v>Feb</v>
      </c>
      <c r="E5" s="27">
        <f t="shared" si="1"/>
        <v>5</v>
      </c>
    </row>
    <row r="6" spans="1:5" x14ac:dyDescent="0.3">
      <c r="A6" s="28" t="s">
        <v>69</v>
      </c>
      <c r="B6" s="53">
        <v>40</v>
      </c>
      <c r="D6" s="27" t="str">
        <f t="shared" si="0"/>
        <v>Mar</v>
      </c>
      <c r="E6" s="27">
        <f t="shared" si="1"/>
        <v>40</v>
      </c>
    </row>
    <row r="7" spans="1:5" x14ac:dyDescent="0.3">
      <c r="A7" s="28" t="s">
        <v>54</v>
      </c>
      <c r="B7" s="53">
        <v>3</v>
      </c>
      <c r="D7" s="27" t="str">
        <f t="shared" si="0"/>
        <v>Apr</v>
      </c>
      <c r="E7" s="27">
        <f t="shared" si="1"/>
        <v>3</v>
      </c>
    </row>
    <row r="8" spans="1:5" x14ac:dyDescent="0.3">
      <c r="A8" s="28" t="s">
        <v>55</v>
      </c>
      <c r="B8" s="53">
        <v>3</v>
      </c>
      <c r="D8" s="27" t="str">
        <f t="shared" si="0"/>
        <v>May</v>
      </c>
      <c r="E8" s="27">
        <f t="shared" si="1"/>
        <v>3</v>
      </c>
    </row>
    <row r="9" spans="1:5" x14ac:dyDescent="0.3">
      <c r="A9" s="28" t="s">
        <v>56</v>
      </c>
      <c r="B9" s="53">
        <v>4</v>
      </c>
      <c r="D9" s="27" t="str">
        <f t="shared" si="0"/>
        <v>Jun</v>
      </c>
      <c r="E9" s="27">
        <f t="shared" si="1"/>
        <v>4</v>
      </c>
    </row>
    <row r="10" spans="1:5" x14ac:dyDescent="0.3">
      <c r="A10" s="28" t="s">
        <v>58</v>
      </c>
      <c r="B10" s="53">
        <v>4</v>
      </c>
      <c r="D10" s="27" t="str">
        <f t="shared" si="0"/>
        <v>Jul</v>
      </c>
      <c r="E10" s="27">
        <f t="shared" si="1"/>
        <v>4</v>
      </c>
    </row>
    <row r="11" spans="1:5" x14ac:dyDescent="0.3">
      <c r="A11" s="28" t="s">
        <v>59</v>
      </c>
      <c r="B11" s="53">
        <v>0</v>
      </c>
      <c r="D11" s="27" t="str">
        <f t="shared" si="0"/>
        <v>Aug</v>
      </c>
      <c r="E11" s="27">
        <f t="shared" si="1"/>
        <v>0</v>
      </c>
    </row>
    <row r="12" spans="1:5" x14ac:dyDescent="0.3">
      <c r="A12" s="28" t="s">
        <v>60</v>
      </c>
      <c r="B12" s="53">
        <v>87</v>
      </c>
      <c r="D12" s="27" t="str">
        <f t="shared" si="0"/>
        <v>Sep</v>
      </c>
      <c r="E12" s="27">
        <f t="shared" si="1"/>
        <v>87</v>
      </c>
    </row>
    <row r="13" spans="1:5" x14ac:dyDescent="0.3">
      <c r="A13" s="28" t="s">
        <v>62</v>
      </c>
      <c r="B13" s="53">
        <v>0</v>
      </c>
      <c r="D13" s="27" t="str">
        <f t="shared" si="0"/>
        <v>Oct</v>
      </c>
      <c r="E13" s="27">
        <f t="shared" si="1"/>
        <v>0</v>
      </c>
    </row>
    <row r="14" spans="1:5" x14ac:dyDescent="0.3">
      <c r="A14" s="28" t="s">
        <v>63</v>
      </c>
      <c r="B14" s="53">
        <v>50</v>
      </c>
      <c r="D14" s="27" t="str">
        <f t="shared" si="0"/>
        <v>Nov</v>
      </c>
      <c r="E14" s="27">
        <f t="shared" si="1"/>
        <v>50</v>
      </c>
    </row>
    <row r="15" spans="1:5" x14ac:dyDescent="0.3">
      <c r="A15" s="28" t="s">
        <v>64</v>
      </c>
      <c r="B15" s="53">
        <v>0</v>
      </c>
      <c r="D15" s="27" t="str">
        <f t="shared" si="0"/>
        <v>Dec</v>
      </c>
      <c r="E15" s="27">
        <f t="shared" si="1"/>
        <v>0</v>
      </c>
    </row>
    <row r="16" spans="1:5" x14ac:dyDescent="0.3">
      <c r="A16" s="28" t="s">
        <v>90</v>
      </c>
      <c r="B16" s="27">
        <f>SUM(B4:B15)</f>
        <v>416</v>
      </c>
      <c r="D16" s="46" t="str">
        <f t="shared" si="0"/>
        <v>total</v>
      </c>
      <c r="E16" s="46">
        <f t="shared" si="1"/>
        <v>416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6F38A-9BFE-4C36-AC6D-8D665C43D5A5}">
  <sheetPr codeName="Sheet12"/>
  <dimension ref="A3:E16"/>
  <sheetViews>
    <sheetView workbookViewId="0">
      <selection activeCell="J9" sqref="J9"/>
    </sheetView>
  </sheetViews>
  <sheetFormatPr defaultRowHeight="14.4" x14ac:dyDescent="0.3"/>
  <cols>
    <col min="1" max="1" width="12.5546875" bestFit="1" customWidth="1"/>
    <col min="2" max="2" width="16.33203125" bestFit="1" customWidth="1"/>
    <col min="4" max="4" width="11" customWidth="1"/>
    <col min="5" max="5" width="16.77734375" customWidth="1"/>
  </cols>
  <sheetData>
    <row r="3" spans="1:5" x14ac:dyDescent="0.3">
      <c r="A3" s="26" t="s">
        <v>50</v>
      </c>
      <c r="B3" s="27" t="s">
        <v>88</v>
      </c>
      <c r="D3" s="31" t="str">
        <f>A3</f>
        <v>Row Labels</v>
      </c>
      <c r="E3" s="52" t="str">
        <f>B3</f>
        <v xml:space="preserve"> Open PO Amount</v>
      </c>
    </row>
    <row r="4" spans="1:5" x14ac:dyDescent="0.3">
      <c r="A4" s="28" t="s">
        <v>67</v>
      </c>
      <c r="B4" s="29">
        <v>78650</v>
      </c>
      <c r="D4" s="27" t="str">
        <f t="shared" ref="D4:D16" si="0">A4</f>
        <v>Jan</v>
      </c>
      <c r="E4" s="29">
        <f t="shared" ref="E4:E16" si="1">B4</f>
        <v>78650</v>
      </c>
    </row>
    <row r="5" spans="1:5" x14ac:dyDescent="0.3">
      <c r="A5" s="28" t="s">
        <v>68</v>
      </c>
      <c r="B5" s="29">
        <v>5250</v>
      </c>
      <c r="D5" s="27" t="str">
        <f t="shared" si="0"/>
        <v>Feb</v>
      </c>
      <c r="E5" s="29">
        <f t="shared" si="1"/>
        <v>5250</v>
      </c>
    </row>
    <row r="6" spans="1:5" x14ac:dyDescent="0.3">
      <c r="A6" s="28" t="s">
        <v>69</v>
      </c>
      <c r="B6" s="29">
        <v>8800</v>
      </c>
      <c r="D6" s="27" t="str">
        <f t="shared" si="0"/>
        <v>Mar</v>
      </c>
      <c r="E6" s="29">
        <f t="shared" si="1"/>
        <v>8800</v>
      </c>
    </row>
    <row r="7" spans="1:5" x14ac:dyDescent="0.3">
      <c r="A7" s="28" t="s">
        <v>54</v>
      </c>
      <c r="B7" s="29">
        <v>660</v>
      </c>
      <c r="D7" s="27" t="str">
        <f t="shared" si="0"/>
        <v>Apr</v>
      </c>
      <c r="E7" s="29">
        <f t="shared" si="1"/>
        <v>660</v>
      </c>
    </row>
    <row r="8" spans="1:5" x14ac:dyDescent="0.3">
      <c r="A8" s="28" t="s">
        <v>55</v>
      </c>
      <c r="B8" s="29">
        <v>34500</v>
      </c>
      <c r="D8" s="27" t="str">
        <f t="shared" si="0"/>
        <v>May</v>
      </c>
      <c r="E8" s="29">
        <f t="shared" si="1"/>
        <v>34500</v>
      </c>
    </row>
    <row r="9" spans="1:5" x14ac:dyDescent="0.3">
      <c r="A9" s="28" t="s">
        <v>56</v>
      </c>
      <c r="B9" s="29">
        <v>5800</v>
      </c>
      <c r="D9" s="27" t="str">
        <f t="shared" si="0"/>
        <v>Jun</v>
      </c>
      <c r="E9" s="29">
        <f t="shared" si="1"/>
        <v>5800</v>
      </c>
    </row>
    <row r="10" spans="1:5" x14ac:dyDescent="0.3">
      <c r="A10" s="28" t="s">
        <v>58</v>
      </c>
      <c r="B10" s="29">
        <v>104</v>
      </c>
      <c r="D10" s="27" t="str">
        <f t="shared" si="0"/>
        <v>Jul</v>
      </c>
      <c r="E10" s="29">
        <f t="shared" si="1"/>
        <v>104</v>
      </c>
    </row>
    <row r="11" spans="1:5" x14ac:dyDescent="0.3">
      <c r="A11" s="28" t="s">
        <v>59</v>
      </c>
      <c r="B11" s="29">
        <v>0</v>
      </c>
      <c r="D11" s="27" t="str">
        <f t="shared" si="0"/>
        <v>Aug</v>
      </c>
      <c r="E11" s="29">
        <f t="shared" si="1"/>
        <v>0</v>
      </c>
    </row>
    <row r="12" spans="1:5" x14ac:dyDescent="0.3">
      <c r="A12" s="28" t="s">
        <v>60</v>
      </c>
      <c r="B12" s="29">
        <v>20880</v>
      </c>
      <c r="D12" s="27" t="str">
        <f t="shared" si="0"/>
        <v>Sep</v>
      </c>
      <c r="E12" s="29">
        <f t="shared" si="1"/>
        <v>20880</v>
      </c>
    </row>
    <row r="13" spans="1:5" x14ac:dyDescent="0.3">
      <c r="A13" s="28" t="s">
        <v>62</v>
      </c>
      <c r="B13" s="29">
        <v>0</v>
      </c>
      <c r="D13" s="27" t="str">
        <f t="shared" si="0"/>
        <v>Oct</v>
      </c>
      <c r="E13" s="29">
        <f t="shared" si="1"/>
        <v>0</v>
      </c>
    </row>
    <row r="14" spans="1:5" x14ac:dyDescent="0.3">
      <c r="A14" s="28" t="s">
        <v>63</v>
      </c>
      <c r="B14" s="29">
        <v>17000</v>
      </c>
      <c r="D14" s="27" t="str">
        <f t="shared" si="0"/>
        <v>Nov</v>
      </c>
      <c r="E14" s="29">
        <f t="shared" si="1"/>
        <v>17000</v>
      </c>
    </row>
    <row r="15" spans="1:5" x14ac:dyDescent="0.3">
      <c r="A15" s="28" t="s">
        <v>64</v>
      </c>
      <c r="B15" s="29">
        <v>0</v>
      </c>
      <c r="D15" s="27" t="str">
        <f t="shared" si="0"/>
        <v>Dec</v>
      </c>
      <c r="E15" s="29">
        <f t="shared" si="1"/>
        <v>0</v>
      </c>
    </row>
    <row r="16" spans="1:5" x14ac:dyDescent="0.3">
      <c r="A16" s="28" t="s">
        <v>90</v>
      </c>
      <c r="B16" s="29">
        <f>SUM(B4:B15)</f>
        <v>171644</v>
      </c>
      <c r="D16" s="46" t="str">
        <f t="shared" si="0"/>
        <v>total</v>
      </c>
      <c r="E16" s="47">
        <f t="shared" si="1"/>
        <v>171644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ABA47-40B4-4B06-8B29-A56718406797}">
  <sheetPr codeName="Sheet13"/>
  <dimension ref="A3:F6"/>
  <sheetViews>
    <sheetView workbookViewId="0">
      <selection activeCell="I4" sqref="I4"/>
    </sheetView>
  </sheetViews>
  <sheetFormatPr defaultRowHeight="14.4" x14ac:dyDescent="0.3"/>
  <cols>
    <col min="1" max="1" width="12.5546875" bestFit="1" customWidth="1"/>
    <col min="2" max="2" width="13.109375" bestFit="1" customWidth="1"/>
    <col min="5" max="5" width="10.77734375" customWidth="1"/>
    <col min="6" max="6" width="20.109375" customWidth="1"/>
  </cols>
  <sheetData>
    <row r="3" spans="1:6" x14ac:dyDescent="0.3">
      <c r="A3" s="12" t="s">
        <v>50</v>
      </c>
      <c r="B3" s="14" t="s">
        <v>89</v>
      </c>
      <c r="E3" s="31" t="str">
        <f>A3</f>
        <v>Row Labels</v>
      </c>
      <c r="F3" s="52" t="str">
        <f>B3</f>
        <v xml:space="preserve">Indentor PO  </v>
      </c>
    </row>
    <row r="4" spans="1:6" x14ac:dyDescent="0.3">
      <c r="A4" s="13" t="s">
        <v>1</v>
      </c>
      <c r="B4" s="14">
        <v>2404754</v>
      </c>
      <c r="E4" s="27" t="str">
        <f t="shared" ref="E4:E6" si="0">A4</f>
        <v>Indentor A</v>
      </c>
      <c r="F4" s="29">
        <f t="shared" ref="F4:F6" si="1">B4</f>
        <v>2404754</v>
      </c>
    </row>
    <row r="5" spans="1:6" x14ac:dyDescent="0.3">
      <c r="A5" s="13" t="s">
        <v>2</v>
      </c>
      <c r="B5" s="14">
        <v>2463800</v>
      </c>
      <c r="E5" s="27" t="str">
        <f t="shared" si="0"/>
        <v>Indentor B</v>
      </c>
      <c r="F5" s="29">
        <f t="shared" si="1"/>
        <v>2463800</v>
      </c>
    </row>
    <row r="6" spans="1:6" x14ac:dyDescent="0.3">
      <c r="A6" s="13" t="s">
        <v>3</v>
      </c>
      <c r="B6" s="14">
        <v>1679144</v>
      </c>
      <c r="E6" s="27" t="str">
        <f t="shared" si="0"/>
        <v>Indentor C</v>
      </c>
      <c r="F6" s="29">
        <f t="shared" si="1"/>
        <v>1679144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9CC1E-85FB-4D45-8F95-18DDAFF956C5}">
  <sheetPr codeName="Sheet5"/>
  <dimension ref="A1"/>
  <sheetViews>
    <sheetView topLeftCell="B1" workbookViewId="0">
      <selection activeCell="N5" sqref="N5"/>
    </sheetView>
  </sheetViews>
  <sheetFormatPr defaultRowHeight="14.4" x14ac:dyDescent="0.3"/>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9BB7C-886F-4668-9965-6B458B125C33}">
  <sheetPr codeName="Sheet15"/>
  <dimension ref="A1"/>
  <sheetViews>
    <sheetView workbookViewId="0"/>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data</vt:lpstr>
      <vt:lpstr>Dashboard</vt:lpstr>
      <vt:lpstr>Month trend</vt:lpstr>
      <vt:lpstr>Year</vt:lpstr>
      <vt:lpstr>Qrt</vt:lpstr>
      <vt:lpstr>Quotation Value </vt:lpstr>
      <vt:lpstr>PO Value</vt:lpstr>
      <vt:lpstr>Amount Saved</vt:lpstr>
      <vt:lpstr>item purchased order</vt:lpstr>
      <vt:lpstr>category wise saved</vt:lpstr>
      <vt:lpstr>remaining quantity</vt:lpstr>
      <vt:lpstr>Open PO Amount</vt:lpstr>
      <vt:lpstr>indentor po</vt:lpstr>
      <vt:lpstr>refer</vt:lpstr>
      <vt:lpstr>Sheet1</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Jayakumar Selvam</cp:lastModifiedBy>
  <dcterms:created xsi:type="dcterms:W3CDTF">2023-09-02T10:57:57Z</dcterms:created>
  <dcterms:modified xsi:type="dcterms:W3CDTF">2023-09-11T01:40:17Z</dcterms:modified>
</cp:coreProperties>
</file>